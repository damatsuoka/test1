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C:\Users\u913103\Documents\"/>
    </mc:Choice>
  </mc:AlternateContent>
  <xr:revisionPtr revIDLastSave="0" documentId="8_{79D13149-1E56-4CDF-919B-039679D80886}" xr6:coauthVersionLast="47" xr6:coauthVersionMax="47" xr10:uidLastSave="{00000000-0000-0000-0000-000000000000}"/>
  <bookViews>
    <workbookView xWindow="-108" yWindow="-108" windowWidth="23256" windowHeight="12456" activeTab="1" xr2:uid="{00000000-000D-0000-FFFF-FFFF00000000}"/>
  </bookViews>
  <sheets>
    <sheet name="使用方法" sheetId="3" r:id="rId1"/>
    <sheet name="レビュー実施記録" sheetId="1" r:id="rId2"/>
    <sheet name="レビュー観点" sheetId="4" r:id="rId3"/>
    <sheet name="レビューデータサマリ" sheetId="2" r:id="rId4"/>
  </sheets>
  <definedNames>
    <definedName name="_xlnm._FilterDatabase" localSheetId="1" hidden="1">レビュー実施記録!$A$42:$T$42</definedName>
    <definedName name="_xlnm.Print_Area" localSheetId="3">レビューデータサマリ!$A$1:$H$53</definedName>
    <definedName name="_xlnm.Print_Area" localSheetId="2">レビュー観点!$A$1:$F$61</definedName>
    <definedName name="_xlnm.Print_Area" localSheetId="1">レビュー実施記録!$A$1:$R$134</definedName>
    <definedName name="_xlnm.Print_Area" localSheetId="0">使用方法!$A$1:$Q$70</definedName>
    <definedName name="_xlnm.Print_Titles" localSheetId="1">レビュー実施記録!$40:$42</definedName>
    <definedName name="_xlnm.Print_Titles" localSheetId="0">使用方法!$15:$15</definedName>
    <definedName name="ReviewData">レビューデータサマリ!$F$15:$F$48</definedName>
    <definedName name="原因区分">レビューデータサマリ!$D$33:$D$41</definedName>
    <definedName name="実施フェーズ">レビューデータサマリ!$C$5:$C$12</definedName>
    <definedName name="分類">使用方法!$N$48:$N$52</definedName>
    <definedName name="役割">使用方法!$N$26:$N$35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15" i="1" l="1"/>
  <c r="A121" i="1"/>
  <c r="A120" i="1"/>
  <c r="A119" i="1"/>
  <c r="A118" i="1"/>
  <c r="A117" i="1"/>
  <c r="A116" i="1"/>
  <c r="A114" i="1"/>
  <c r="A125" i="1"/>
  <c r="A124" i="1"/>
  <c r="A123" i="1"/>
  <c r="A122" i="1"/>
  <c r="A127" i="1"/>
  <c r="A126" i="1"/>
  <c r="A128" i="1"/>
  <c r="A109" i="1"/>
  <c r="A108" i="1"/>
  <c r="A107" i="1"/>
  <c r="A106" i="1"/>
  <c r="A105" i="1"/>
  <c r="A89" i="1"/>
  <c r="A88" i="1"/>
  <c r="A87" i="1"/>
  <c r="A86" i="1"/>
  <c r="A85" i="1"/>
  <c r="A84" i="1"/>
  <c r="A83" i="1"/>
  <c r="A82" i="1"/>
  <c r="A81" i="1"/>
  <c r="A95" i="1"/>
  <c r="A94" i="1"/>
  <c r="A93" i="1"/>
  <c r="A92" i="1"/>
  <c r="A91" i="1"/>
  <c r="A90" i="1"/>
  <c r="A80" i="1"/>
  <c r="A102" i="1"/>
  <c r="A101" i="1"/>
  <c r="A100" i="1"/>
  <c r="A99" i="1"/>
  <c r="A98" i="1"/>
  <c r="A97" i="1"/>
  <c r="A96" i="1"/>
  <c r="A129" i="1"/>
  <c r="A113" i="1"/>
  <c r="A112" i="1"/>
  <c r="A111" i="1"/>
  <c r="A110" i="1"/>
  <c r="A104" i="1"/>
  <c r="A103" i="1"/>
  <c r="A70" i="1"/>
  <c r="A69" i="1"/>
  <c r="A68" i="1"/>
  <c r="A67" i="1"/>
  <c r="A66" i="1"/>
  <c r="A65" i="1"/>
  <c r="A64" i="1"/>
  <c r="A63" i="1"/>
  <c r="A62" i="1"/>
  <c r="A61" i="1"/>
  <c r="A60" i="1"/>
  <c r="A59" i="1"/>
  <c r="A76" i="1"/>
  <c r="A75" i="1"/>
  <c r="A74" i="1"/>
  <c r="A73" i="1"/>
  <c r="A72" i="1"/>
  <c r="A71" i="1"/>
  <c r="A79" i="1"/>
  <c r="A78" i="1"/>
  <c r="A77" i="1"/>
  <c r="A28" i="4"/>
  <c r="A27" i="4"/>
  <c r="A9" i="4"/>
  <c r="X10" i="1"/>
  <c r="X16" i="1" s="1"/>
  <c r="X14" i="1"/>
  <c r="X13" i="1"/>
  <c r="X12" i="1"/>
  <c r="X11" i="1"/>
  <c r="X15" i="1" l="1"/>
  <c r="N13" i="1" l="1"/>
  <c r="N12" i="1"/>
  <c r="N11" i="1"/>
  <c r="N10" i="1"/>
  <c r="X17" i="1" l="1"/>
  <c r="N14" i="1"/>
  <c r="B42" i="1"/>
  <c r="C49" i="2" l="1"/>
  <c r="E53" i="2" l="1"/>
  <c r="E51" i="2"/>
  <c r="F51" i="2" s="1"/>
  <c r="E52" i="2"/>
  <c r="E50" i="2"/>
  <c r="F50" i="2" s="1"/>
  <c r="E49" i="2"/>
  <c r="A58" i="4" l="1"/>
  <c r="A59" i="4"/>
  <c r="A60" i="4"/>
  <c r="A61" i="4"/>
  <c r="A7" i="4"/>
  <c r="A8" i="4"/>
  <c r="A10" i="4"/>
  <c r="A11" i="4"/>
  <c r="A12" i="4"/>
  <c r="A13" i="4"/>
  <c r="A14" i="4"/>
  <c r="A15" i="4"/>
  <c r="A16" i="4"/>
  <c r="A17" i="4"/>
  <c r="A18" i="4"/>
  <c r="A19" i="4"/>
  <c r="A20" i="4"/>
  <c r="A21" i="4"/>
  <c r="A22" i="4"/>
  <c r="A23" i="4"/>
  <c r="A24" i="4"/>
  <c r="A25" i="4"/>
  <c r="A26"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6" i="4"/>
  <c r="F52" i="2"/>
  <c r="F53" i="2"/>
  <c r="F49" i="2"/>
  <c r="F31" i="2"/>
  <c r="A133" i="1"/>
  <c r="A132" i="1"/>
  <c r="A131" i="1"/>
  <c r="A130" i="1"/>
  <c r="A58" i="1"/>
  <c r="A57" i="1"/>
  <c r="A56" i="1"/>
  <c r="A55" i="1"/>
  <c r="A54" i="1"/>
  <c r="A53" i="1"/>
  <c r="A52" i="1"/>
  <c r="A51" i="1"/>
  <c r="A50" i="1"/>
  <c r="A49" i="1"/>
  <c r="A48" i="1"/>
  <c r="A47" i="1"/>
  <c r="A46" i="1"/>
  <c r="A45" i="1"/>
  <c r="A44" i="1"/>
  <c r="A43" i="1"/>
  <c r="N38" i="1"/>
  <c r="F28" i="2" s="1"/>
  <c r="D38" i="1"/>
  <c r="C38" i="1"/>
  <c r="F29" i="2" s="1"/>
  <c r="F24" i="2"/>
  <c r="F45" i="2"/>
  <c r="F41" i="2"/>
  <c r="F40" i="2"/>
  <c r="F39" i="2"/>
  <c r="F38" i="2"/>
  <c r="F37" i="2"/>
  <c r="F36" i="2"/>
  <c r="F35" i="2"/>
  <c r="F34" i="2"/>
  <c r="F33" i="2"/>
  <c r="F27" i="2"/>
  <c r="F26" i="2"/>
  <c r="F20" i="2"/>
  <c r="F19" i="2"/>
  <c r="F17" i="2"/>
  <c r="F18" i="2" s="1"/>
  <c r="F16" i="2"/>
  <c r="F23" i="2"/>
  <c r="F22" i="2"/>
  <c r="F21" i="2"/>
  <c r="L14" i="2" l="1" a="1"/>
  <c r="L14" i="2" s="1"/>
  <c r="F15" i="2" s="1"/>
  <c r="N16" i="1" s="1"/>
  <c r="L15" i="2" a="1"/>
  <c r="L15" i="2" s="1"/>
  <c r="F30" i="2"/>
  <c r="N15" i="1"/>
  <c r="F43" i="2"/>
  <c r="F48" i="2"/>
  <c r="F46" i="2"/>
  <c r="F32" i="2"/>
  <c r="F44" i="2"/>
  <c r="F25" i="2" l="1"/>
  <c r="F47" i="2"/>
  <c r="F4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ＤＣＳ</author>
    <author>DCS</author>
    <author>u051403</author>
    <author>湯田　るみ（決済推進部　第1グループ）</author>
    <author>u861499</author>
    <author>u092215</author>
    <author>d512922</author>
    <author>u052035</author>
  </authors>
  <commentList>
    <comment ref="B5" authorId="0" shapeId="0" xr:uid="{EAC4F503-96C2-4447-9DB2-AA262B58AA64}">
      <text>
        <r>
          <rPr>
            <sz val="9"/>
            <color indexed="81"/>
            <rFont val="ＭＳ Ｐゴシック"/>
            <family val="3"/>
            <charset val="128"/>
            <scheme val="major"/>
          </rPr>
          <t>レビュー単位で、一意になるように決定する。</t>
        </r>
      </text>
    </comment>
    <comment ref="L6" authorId="1" shapeId="0" xr:uid="{63E2271C-0B06-4D3A-A511-95080C030E5E}">
      <text>
        <r>
          <rPr>
            <sz val="9"/>
            <color indexed="81"/>
            <rFont val="ＭＳ Ｐゴシック"/>
            <family val="3"/>
            <charset val="128"/>
            <scheme val="major"/>
          </rPr>
          <t>横展開調査欄（V列以降）を使用する場合は、プルダウンから
「使用する」を選択し、手動で改ページ位置を調整してください。
（任意項目のため、デフォルトでは「使用しない」としています。）</t>
        </r>
      </text>
    </comment>
    <comment ref="B9" authorId="2" shapeId="0" xr:uid="{00000000-0006-0000-0100-000001000000}">
      <text>
        <r>
          <rPr>
            <sz val="9"/>
            <color indexed="81"/>
            <rFont val="ＭＳ Ｐゴシック"/>
            <family val="3"/>
            <charset val="128"/>
          </rPr>
          <t>今回のレビューに必要な観点を記入する</t>
        </r>
      </text>
    </comment>
    <comment ref="L10" authorId="1" shapeId="0" xr:uid="{00000000-0006-0000-0100-000002000000}">
      <text>
        <r>
          <rPr>
            <sz val="9"/>
            <color indexed="81"/>
            <rFont val="ＭＳ Ｐゴシック"/>
            <family val="3"/>
            <charset val="128"/>
          </rPr>
          <t>指摘内容の記入件数を集計。
※</t>
        </r>
        <r>
          <rPr>
            <u/>
            <sz val="9"/>
            <color indexed="81"/>
            <rFont val="ＭＳ Ｐゴシック"/>
            <family val="3"/>
            <charset val="128"/>
          </rPr>
          <t>指摘0件の場合、指摘内容は記入しないでください。</t>
        </r>
      </text>
    </comment>
    <comment ref="V10" authorId="1" shapeId="0" xr:uid="{61D4F6CE-A4C1-45FB-9790-7F45D1089A55}">
      <text>
        <r>
          <rPr>
            <sz val="9"/>
            <color indexed="81"/>
            <rFont val="ＭＳ Ｐゴシック"/>
            <family val="3"/>
            <charset val="128"/>
          </rPr>
          <t>横展開調査の記入件数を集計。</t>
        </r>
      </text>
    </comment>
    <comment ref="L16" authorId="1" shapeId="0" xr:uid="{00000000-0006-0000-0100-000003000000}">
      <text>
        <r>
          <rPr>
            <sz val="9"/>
            <color indexed="81"/>
            <rFont val="ＭＳ Ｐゴシック"/>
            <family val="3"/>
            <charset val="128"/>
          </rPr>
          <t>・CLOSE … 指摘無し、または、
　全ての指摘がクローズされており、レビュープロセスが終了している。
・OPEN … クローズされていない指摘があり、レビュープロセスが
　終了していない。
※指摘のクローズ条件は使用方法シート（検証項目）参照。</t>
        </r>
      </text>
    </comment>
    <comment ref="X17" authorId="3" shapeId="0" xr:uid="{803974D7-19DE-46EE-A06F-907AEA9B900B}">
      <text>
        <r>
          <rPr>
            <sz val="9"/>
            <color indexed="81"/>
            <rFont val="ＭＳ Ｐゴシック"/>
            <family val="3"/>
            <charset val="128"/>
            <scheme val="major"/>
          </rPr>
          <t>・CLOSE … 全ての指摘に対し横展開調査や対応が完了している
（=以下の条件を満たしている)こと。
　・レビュー指摘数＝要否欄の入力数 
　・横展開「否」数＝否の理由入力数 
　・横展開「要」数＝対応内容入力数 
　・レビュー残数＝0件 
　・対応残数=0件 
・OPEN … 横展開調査や対応が完了していない指摘がある。
※横展開調査のクローズ条件は使用方法シート（検証項目）参照。)</t>
        </r>
      </text>
    </comment>
    <comment ref="L19" authorId="1" shapeId="0" xr:uid="{00000000-0006-0000-0100-000004000000}">
      <text>
        <r>
          <rPr>
            <sz val="9"/>
            <color indexed="81"/>
            <rFont val="ＭＳ Ｐゴシック"/>
            <family val="3"/>
            <charset val="128"/>
          </rPr>
          <t>成果物のレビューで確認に用いる参考資料を記入</t>
        </r>
      </text>
    </comment>
    <comment ref="A25" authorId="1" shapeId="0" xr:uid="{00000000-0006-0000-0100-000005000000}">
      <text>
        <r>
          <rPr>
            <sz val="9"/>
            <color indexed="81"/>
            <rFont val="ＭＳ Ｐゴシック"/>
            <family val="3"/>
            <charset val="128"/>
          </rPr>
          <t xml:space="preserve">レビュー指摘リスト「指摘日」から、
</t>
        </r>
        <r>
          <rPr>
            <b/>
            <sz val="9"/>
            <color indexed="81"/>
            <rFont val="ＭＳ Ｐゴシック"/>
            <family val="3"/>
            <charset val="128"/>
          </rPr>
          <t>「最も古い日付」</t>
        </r>
        <r>
          <rPr>
            <sz val="9"/>
            <color indexed="81"/>
            <rFont val="ＭＳ Ｐゴシック"/>
            <family val="3"/>
            <charset val="128"/>
          </rPr>
          <t>を自動表示。
※</t>
        </r>
        <r>
          <rPr>
            <u/>
            <sz val="9"/>
            <color indexed="81"/>
            <rFont val="ＭＳ Ｐゴシック"/>
            <family val="3"/>
            <charset val="128"/>
          </rPr>
          <t>指摘0件の場合、実施日を直接記入のこと。</t>
        </r>
      </text>
    </comment>
    <comment ref="D25" authorId="1" shapeId="0" xr:uid="{00000000-0006-0000-0100-000006000000}">
      <text>
        <r>
          <rPr>
            <sz val="9"/>
            <color indexed="81"/>
            <rFont val="ＭＳ Ｐゴシック"/>
            <family val="3"/>
            <charset val="128"/>
          </rPr>
          <t>全ての指摘がクローズしている場合のみ、
レビュー指摘リスト「検証日」から、</t>
        </r>
        <r>
          <rPr>
            <b/>
            <sz val="9"/>
            <color indexed="81"/>
            <rFont val="ＭＳ Ｐゴシック"/>
            <family val="3"/>
            <charset val="128"/>
          </rPr>
          <t>「最新の日付」</t>
        </r>
        <r>
          <rPr>
            <sz val="9"/>
            <color indexed="81"/>
            <rFont val="ＭＳ Ｐゴシック"/>
            <family val="3"/>
            <charset val="128"/>
          </rPr>
          <t xml:space="preserve">を自動表示。
</t>
        </r>
        <r>
          <rPr>
            <u/>
            <sz val="9"/>
            <color indexed="81"/>
            <rFont val="ＭＳ Ｐゴシック"/>
            <family val="3"/>
            <charset val="128"/>
          </rPr>
          <t>※指摘0件の場合、実施日を直接記入のこと。</t>
        </r>
      </text>
    </comment>
    <comment ref="L25" authorId="1" shapeId="0" xr:uid="{00000000-0006-0000-0100-000007000000}">
      <text>
        <r>
          <rPr>
            <sz val="9"/>
            <color indexed="81"/>
            <rFont val="ＭＳ Ｐゴシック"/>
            <family val="3"/>
            <charset val="128"/>
          </rPr>
          <t>・プロジェクト管理資料（計画書等）
・要件定義書
・外部設計書
・内部設計書
・ソースコード
・単体テスト仕様書
・結合テスト仕様書
・システムテスト仕様書
・その他エンジニアリング成果物
・支援文書（マニュアル等）</t>
        </r>
      </text>
    </comment>
    <comment ref="B26" authorId="4" shapeId="0" xr:uid="{00000000-0006-0000-0100-000008000000}">
      <text>
        <r>
          <rPr>
            <sz val="9"/>
            <color indexed="81"/>
            <rFont val="ＭＳ Ｐゴシック"/>
            <family val="3"/>
            <charset val="128"/>
          </rPr>
          <t>担当者が10名を超える場合は行を追加してください。
その場合、合計欄（人、時間）の数式も変更してください。</t>
        </r>
      </text>
    </comment>
    <comment ref="H26" authorId="5" shapeId="0" xr:uid="{00000000-0006-0000-0100-000009000000}">
      <text>
        <r>
          <rPr>
            <sz val="9"/>
            <color indexed="81"/>
            <rFont val="ＭＳ Ｐゴシック"/>
            <family val="3"/>
            <charset val="128"/>
          </rPr>
          <t>リスト定義の内容を変更する場合は、
使用方法シートの「役割」の欄から編集してください。</t>
        </r>
      </text>
    </comment>
    <comment ref="D38" authorId="2" shapeId="0" xr:uid="{00000000-0006-0000-0100-00000A000000}">
      <text>
        <r>
          <rPr>
            <sz val="9"/>
            <color indexed="81"/>
            <rFont val="ＭＳ Ｐゴシック"/>
            <family val="3"/>
            <charset val="128"/>
          </rPr>
          <t>入力されたレビュー時間（分単位）を時間単位に換算</t>
        </r>
      </text>
    </comment>
    <comment ref="B41" authorId="6" shapeId="0" xr:uid="{00000000-0006-0000-0100-00000B000000}">
      <text>
        <r>
          <rPr>
            <sz val="9"/>
            <color indexed="81"/>
            <rFont val="ＭＳ Ｐゴシック"/>
            <family val="3"/>
            <charset val="128"/>
          </rPr>
          <t>①指摘時に指摘者の判断で記入する。
②対応検討時に見直す。</t>
        </r>
      </text>
    </comment>
    <comment ref="Q41" authorId="2" shapeId="0" xr:uid="{00000000-0006-0000-0100-00000C000000}">
      <text>
        <r>
          <rPr>
            <sz val="9"/>
            <color indexed="81"/>
            <rFont val="ＭＳ Ｐゴシック"/>
            <family val="3"/>
            <charset val="128"/>
          </rPr>
          <t>以下のとおり、対応結果を確認できた場合、検証欄を記入する。
【検証合格の条件】
①対応状況が「対応済み」の場合
・「対応内容」欄に対応内容が記入されていること
・「対応内容」通りの対応が行われていること
②対応状況が「対応無し」の場合
・「対応内容」欄に理由が記入されていること
③対応状況が「保留」の場合
・当該指摘の今後の対応方針や管理方法が明確になっていること
・「関連ID」欄が記入されていること
例）
　・課題一覧に起票（「関連ID」欄に課題IDを記入）
　・WBSにタスクを追加（「関連ID」欄に「-」を記入）</t>
        </r>
      </text>
    </comment>
    <comment ref="S41" authorId="5" shapeId="0" xr:uid="{00000000-0006-0000-0100-00000D000000}">
      <text>
        <r>
          <rPr>
            <sz val="9"/>
            <color indexed="81"/>
            <rFont val="ＭＳ Ｐゴシック"/>
            <family val="3"/>
            <charset val="128"/>
          </rPr>
          <t>顧客レビューの場合に使用する。
顧客検証日・顧客検証者欄が埋まると、顧客検証欄がグレーアウトされる。
※顧客レビュー以外の場合、当欄は使用しない。</t>
        </r>
      </text>
    </comment>
    <comment ref="Z41" authorId="1" shapeId="0" xr:uid="{F18262D7-240B-4360-A616-6AF95E65A37F}">
      <text>
        <r>
          <rPr>
            <sz val="9"/>
            <color indexed="81"/>
            <rFont val="ＭＳ Ｐゴシック"/>
            <family val="3"/>
            <charset val="128"/>
            <scheme val="major"/>
          </rPr>
          <t>調査「否」
→理由欄入力日
調査「要」
→対応内容欄入力日</t>
        </r>
      </text>
    </comment>
    <comment ref="B42" authorId="1" shapeId="0" xr:uid="{00000000-0006-0000-0100-00000E000000}">
      <text>
        <r>
          <rPr>
            <sz val="9"/>
            <color indexed="81"/>
            <rFont val="ＭＳ Ｐゴシック"/>
            <family val="3"/>
            <charset val="128"/>
          </rPr>
          <t>・不備 … 誤りに対する指摘事項
・改善 … 不備にはあたらないが、より良くするために対応が望まれる指摘事項
・質問・確認 … 不明点についての質問や確認事項</t>
        </r>
      </text>
    </comment>
    <comment ref="C42" authorId="6" shapeId="0" xr:uid="{00000000-0006-0000-0100-00000F000000}">
      <text>
        <r>
          <rPr>
            <sz val="9"/>
            <color indexed="81"/>
            <rFont val="ＭＳ Ｐゴシック"/>
            <family val="3"/>
            <charset val="128"/>
          </rPr>
          <t>・元資料不備 … レビュー対象成果物のベースである、前工程で作成された元資料の記述内容に不備（欠陥）がある。
・仕様取込不備 … 前工程で作成された「元資料」の不正確な取り込みにより、不備がある。
・技術的不備 … 技術的に実現困難。
・あいまい表現 … 具体化/詳細化が必要な、あいまいさがある。
・考慮不足 … 現工程/後工程に対する考慮漏れ・検討不足により、不備がある。
・不整合 … 関連資料/関連箇所の内容と照合した結果、整合性がない、矛盾している。
・ルール不順守 … 既定の規約や記述ルールに、則っていない。
・誤字脱字・形式不備 … 誤字脱字、レイアウトやスタイルに不備がある。
・仕様改善提案 … 不備ではないが、まだ、改善検討の余地が残っている。</t>
        </r>
      </text>
    </comment>
    <comment ref="D42" authorId="6" shapeId="0" xr:uid="{00000000-0006-0000-0100-000010000000}">
      <text>
        <r>
          <rPr>
            <sz val="9"/>
            <color indexed="81"/>
            <rFont val="ＭＳ Ｐゴシック"/>
            <family val="3"/>
            <charset val="128"/>
          </rPr>
          <t>対象作業成果物の一覧の中から選択</t>
        </r>
      </text>
    </comment>
    <comment ref="E42" authorId="1" shapeId="0" xr:uid="{00000000-0006-0000-0100-000011000000}">
      <text>
        <r>
          <rPr>
            <sz val="9"/>
            <color indexed="81"/>
            <rFont val="ＭＳ Ｐゴシック"/>
            <family val="3"/>
            <charset val="128"/>
          </rPr>
          <t>指摘箇所の詳細記入欄①（使用任意）
分割単位（章/節/…）の定義は変更可。</t>
        </r>
      </text>
    </comment>
    <comment ref="F42" authorId="1" shapeId="0" xr:uid="{00000000-0006-0000-0100-000012000000}">
      <text>
        <r>
          <rPr>
            <sz val="9"/>
            <color indexed="81"/>
            <rFont val="ＭＳ Ｐゴシック"/>
            <family val="3"/>
            <charset val="128"/>
          </rPr>
          <t>指摘箇所の詳細記入欄②（使用任意）
分割単位（章/節/…）の定義は変更可。</t>
        </r>
      </text>
    </comment>
    <comment ref="G42" authorId="1" shapeId="0" xr:uid="{00000000-0006-0000-0100-000013000000}">
      <text>
        <r>
          <rPr>
            <sz val="9"/>
            <color indexed="81"/>
            <rFont val="ＭＳ Ｐゴシック"/>
            <family val="3"/>
            <charset val="128"/>
          </rPr>
          <t>指摘箇所の詳細記入欄③（使用任意）
分割単位（章/節/…）の定義は変更可。</t>
        </r>
      </text>
    </comment>
    <comment ref="L42" authorId="7" shapeId="0" xr:uid="{00000000-0006-0000-0100-000014000000}">
      <text>
        <r>
          <rPr>
            <sz val="9"/>
            <color indexed="81"/>
            <rFont val="ＭＳ Ｐゴシック"/>
            <family val="3"/>
            <charset val="128"/>
          </rPr>
          <t>・対応済み
・対応無し
・保留</t>
        </r>
      </text>
    </comment>
    <comment ref="P42" authorId="7" shapeId="0" xr:uid="{00000000-0006-0000-0100-000015000000}">
      <text>
        <r>
          <rPr>
            <sz val="9"/>
            <color indexed="81"/>
            <rFont val="ＭＳ Ｐゴシック"/>
            <family val="3"/>
            <charset val="128"/>
          </rPr>
          <t>課題や変更となる指摘があった場合、
情報提供先である課題管理プロセス、
変更管理プロセスで割り当てられたIDを記入する。
対応状況が「保留」の場合、関連ID欄の記入必須。</t>
        </r>
      </text>
    </comment>
    <comment ref="W42" authorId="3" shapeId="0" xr:uid="{CF29AF8F-1690-47CD-BE4A-73E3FA48E1B9}">
      <text>
        <r>
          <rPr>
            <sz val="9"/>
            <color indexed="81"/>
            <rFont val="ＭＳ Ｐゴシック"/>
            <family val="3"/>
            <charset val="128"/>
            <scheme val="major"/>
          </rPr>
          <t>横展開調査を「否」とした
理由を記入。</t>
        </r>
      </text>
    </comment>
    <comment ref="X42" authorId="3" shapeId="0" xr:uid="{51032B9E-65FA-44E9-9381-016C25ED9DC6}">
      <text>
        <r>
          <rPr>
            <sz val="9"/>
            <color indexed="81"/>
            <rFont val="ＭＳ Ｐゴシック"/>
            <family val="3"/>
            <charset val="128"/>
            <scheme val="major"/>
          </rPr>
          <t>キーワードなどの調査ポイント、
調査方法を記入。</t>
        </r>
      </text>
    </comment>
    <comment ref="Y42" authorId="3" shapeId="0" xr:uid="{2DC9E6A7-379E-49F2-9694-B6467A1795E6}">
      <text>
        <r>
          <rPr>
            <sz val="9"/>
            <color indexed="81"/>
            <rFont val="ＭＳ Ｐゴシック"/>
            <family val="3"/>
            <charset val="128"/>
            <scheme val="major"/>
          </rPr>
          <t>調査結果や、対応内容を記載する
横展開調査やその後の対応に時間を要し検証が出来ない場合は、
調査を別管理（WBS・課題一覧等）に変更しても良い。
その際は、この欄に管理先を入力しトレース出来るようにした上で
検証を依頼する。</t>
        </r>
      </text>
    </comment>
    <comment ref="AB42" authorId="1" shapeId="0" xr:uid="{DD581AA9-20C9-457D-BC0C-B16959408888}">
      <text>
        <r>
          <rPr>
            <sz val="9"/>
            <color indexed="81"/>
            <rFont val="MS P ゴシック"/>
            <family val="3"/>
            <charset val="128"/>
          </rPr>
          <t>横展開調査結果
および不備対応内容の
検証完了日。</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<sst xmlns="http://schemas.openxmlformats.org/spreadsheetml/2006/main" count="833" uniqueCount="474">
  <si>
    <t>曖昧表現がないか。（名称、状態が定義されているか）</t>
    <rPh sb="0" eb="2">
      <t>アイマイ</t>
    </rPh>
    <rPh sb="2" eb="4">
      <t>ヒョウゲン</t>
    </rPh>
    <rPh sb="10" eb="12">
      <t>メイショウ</t>
    </rPh>
    <rPh sb="13" eb="15">
      <t>ジョウタイ</t>
    </rPh>
    <rPh sb="16" eb="18">
      <t>テイギ</t>
    </rPh>
    <phoneticPr fontId="2"/>
  </si>
  <si>
    <t>ロジックがモジュール設計書（モジュール変更仕様書）に基づき記述されているか。</t>
    <rPh sb="10" eb="12">
      <t>セッケイ</t>
    </rPh>
    <rPh sb="12" eb="13">
      <t>ショ</t>
    </rPh>
    <rPh sb="19" eb="21">
      <t>ヘンコウ</t>
    </rPh>
    <rPh sb="21" eb="24">
      <t>シヨウショ</t>
    </rPh>
    <rPh sb="26" eb="27">
      <t>モト</t>
    </rPh>
    <rPh sb="29" eb="31">
      <t>キジュツ</t>
    </rPh>
    <phoneticPr fontId="2"/>
  </si>
  <si>
    <t>ＩＦ文のネスト、ピリオドの過不足等、ロジック上の不具合はないか。</t>
    <rPh sb="2" eb="3">
      <t>ブン</t>
    </rPh>
    <rPh sb="13" eb="16">
      <t>カフソク</t>
    </rPh>
    <rPh sb="16" eb="17">
      <t>ナド</t>
    </rPh>
    <rPh sb="22" eb="23">
      <t>ジョウ</t>
    </rPh>
    <rPh sb="24" eb="27">
      <t>フグアイ</t>
    </rPh>
    <phoneticPr fontId="2"/>
  </si>
  <si>
    <t>ワークエリアのクリアや桁数指定等に問題はないか。</t>
    <rPh sb="11" eb="13">
      <t>ケタスウ</t>
    </rPh>
    <rPh sb="13" eb="15">
      <t>シテイ</t>
    </rPh>
    <rPh sb="15" eb="16">
      <t>ナド</t>
    </rPh>
    <rPh sb="17" eb="19">
      <t>モンダイ</t>
    </rPh>
    <phoneticPr fontId="2"/>
  </si>
  <si>
    <t>項目追加の際、集団項目間のレングスは一致しているか。</t>
    <rPh sb="0" eb="2">
      <t>コウモク</t>
    </rPh>
    <rPh sb="2" eb="4">
      <t>ツイカ</t>
    </rPh>
    <rPh sb="5" eb="6">
      <t>サイ</t>
    </rPh>
    <rPh sb="7" eb="9">
      <t>シュウダン</t>
    </rPh>
    <rPh sb="9" eb="11">
      <t>コウモク</t>
    </rPh>
    <rPh sb="11" eb="12">
      <t>カン</t>
    </rPh>
    <rPh sb="18" eb="20">
      <t>イッチ</t>
    </rPh>
    <phoneticPr fontId="2"/>
  </si>
  <si>
    <t>データ項目名の意味は、各所で整合性が取れているか。</t>
    <rPh sb="3" eb="5">
      <t>コウモク</t>
    </rPh>
    <rPh sb="5" eb="6">
      <t>メイ</t>
    </rPh>
    <rPh sb="7" eb="9">
      <t>イミ</t>
    </rPh>
    <rPh sb="11" eb="13">
      <t>カクショ</t>
    </rPh>
    <rPh sb="14" eb="17">
      <t>セイゴウセイ</t>
    </rPh>
    <rPh sb="18" eb="19">
      <t>ト</t>
    </rPh>
    <phoneticPr fontId="2"/>
  </si>
  <si>
    <t>ロジックをイメージして記述されているか。（但し、ロジックをそのまま記載するのはNG）</t>
    <rPh sb="11" eb="13">
      <t>キジュツ</t>
    </rPh>
    <rPh sb="21" eb="22">
      <t>タダ</t>
    </rPh>
    <rPh sb="33" eb="35">
      <t>キサイ</t>
    </rPh>
    <phoneticPr fontId="2"/>
  </si>
  <si>
    <t>データ項目名の意味は、各所で整合性が取れているか。</t>
    <phoneticPr fontId="2"/>
  </si>
  <si>
    <t>プログラムの目的が明確になっているか。目的を実現する為の設計仕様が明確になっているか。</t>
    <rPh sb="6" eb="8">
      <t>モクテキ</t>
    </rPh>
    <rPh sb="9" eb="11">
      <t>メイカク</t>
    </rPh>
    <rPh sb="19" eb="21">
      <t>モクテキ</t>
    </rPh>
    <rPh sb="22" eb="24">
      <t>ジツゲン</t>
    </rPh>
    <rPh sb="26" eb="27">
      <t>タメ</t>
    </rPh>
    <rPh sb="28" eb="30">
      <t>セッケイ</t>
    </rPh>
    <rPh sb="30" eb="32">
      <t>シヨウ</t>
    </rPh>
    <rPh sb="33" eb="35">
      <t>メイカク</t>
    </rPh>
    <phoneticPr fontId="2"/>
  </si>
  <si>
    <t>プログラム定義書は作成されているか。</t>
    <rPh sb="5" eb="7">
      <t>テイギ</t>
    </rPh>
    <rPh sb="7" eb="8">
      <t>ショ</t>
    </rPh>
    <rPh sb="9" eb="11">
      <t>サクセイ</t>
    </rPh>
    <phoneticPr fontId="2"/>
  </si>
  <si>
    <t>実行タイミング、インタフェース項目の設定は妥当か。</t>
    <rPh sb="0" eb="2">
      <t>ジッコウ</t>
    </rPh>
    <rPh sb="15" eb="17">
      <t>コウモク</t>
    </rPh>
    <rPh sb="18" eb="20">
      <t>セッテイ</t>
    </rPh>
    <rPh sb="21" eb="23">
      <t>ダトウ</t>
    </rPh>
    <phoneticPr fontId="2"/>
  </si>
  <si>
    <t>要件定義書</t>
    <rPh sb="0" eb="2">
      <t>ヨウケン</t>
    </rPh>
    <rPh sb="2" eb="5">
      <t>テイギショ</t>
    </rPh>
    <phoneticPr fontId="2"/>
  </si>
  <si>
    <t>【指摘属性の更新について】
①指摘時に指摘者の判断で記入する。
②対応検討時に見直して上書き修正する。</t>
    <phoneticPr fontId="2"/>
  </si>
  <si>
    <t>レビュー対象成果物名を記入する。</t>
    <rPh sb="4" eb="6">
      <t>タイショウ</t>
    </rPh>
    <rPh sb="6" eb="9">
      <t>セイカブツ</t>
    </rPh>
    <rPh sb="9" eb="10">
      <t>メイ</t>
    </rPh>
    <rPh sb="11" eb="13">
      <t>キニュウ</t>
    </rPh>
    <phoneticPr fontId="2"/>
  </si>
  <si>
    <t>レビュー実施記録</t>
    <rPh sb="4" eb="6">
      <t>ジッシ</t>
    </rPh>
    <rPh sb="6" eb="8">
      <t>キロク</t>
    </rPh>
    <phoneticPr fontId="2"/>
  </si>
  <si>
    <t>レビュー方式</t>
    <rPh sb="4" eb="6">
      <t>ホウシキ</t>
    </rPh>
    <phoneticPr fontId="2"/>
  </si>
  <si>
    <t>対応数</t>
    <rPh sb="0" eb="2">
      <t>タイオウ</t>
    </rPh>
    <phoneticPr fontId="2"/>
  </si>
  <si>
    <t>◆計画および実績</t>
    <rPh sb="1" eb="3">
      <t>ケイカク</t>
    </rPh>
    <rPh sb="6" eb="8">
      <t>ジッセキ</t>
    </rPh>
    <phoneticPr fontId="2"/>
  </si>
  <si>
    <r>
      <t>担当者</t>
    </r>
    <r>
      <rPr>
        <sz val="9"/>
        <color indexed="10"/>
        <rFont val="ＭＳ Ｐゴシック"/>
        <family val="3"/>
        <charset val="128"/>
      </rPr>
      <t xml:space="preserve"> *</t>
    </r>
    <rPh sb="0" eb="3">
      <t>タントウシャ</t>
    </rPh>
    <phoneticPr fontId="2"/>
  </si>
  <si>
    <t>◆レビュー指摘リスト</t>
    <rPh sb="5" eb="7">
      <t>シテキ</t>
    </rPh>
    <phoneticPr fontId="2"/>
  </si>
  <si>
    <t>指摘</t>
    <rPh sb="0" eb="2">
      <t>シテキ</t>
    </rPh>
    <phoneticPr fontId="2"/>
  </si>
  <si>
    <t>対応</t>
    <rPh sb="0" eb="2">
      <t>タイオウ</t>
    </rPh>
    <phoneticPr fontId="2"/>
  </si>
  <si>
    <t>検証</t>
    <rPh sb="0" eb="2">
      <t>ケンショウ</t>
    </rPh>
    <phoneticPr fontId="2"/>
  </si>
  <si>
    <t>実施フェーズ</t>
    <rPh sb="0" eb="2">
      <t>ジッシ</t>
    </rPh>
    <phoneticPr fontId="2"/>
  </si>
  <si>
    <t>成果物種類</t>
    <rPh sb="0" eb="3">
      <t>セイカブツ</t>
    </rPh>
    <rPh sb="3" eb="5">
      <t>シュルイ</t>
    </rPh>
    <phoneticPr fontId="2"/>
  </si>
  <si>
    <t>レビューア人数</t>
    <rPh sb="5" eb="7">
      <t>ニンズウ</t>
    </rPh>
    <phoneticPr fontId="2"/>
  </si>
  <si>
    <t>レビュー時間</t>
    <rPh sb="4" eb="6">
      <t>ジカン</t>
    </rPh>
    <phoneticPr fontId="2"/>
  </si>
  <si>
    <t>成果物作成工数</t>
    <rPh sb="0" eb="3">
      <t>セイカブツ</t>
    </rPh>
    <rPh sb="3" eb="5">
      <t>サクセイ</t>
    </rPh>
    <rPh sb="5" eb="7">
      <t>コウスウ</t>
    </rPh>
    <phoneticPr fontId="2"/>
  </si>
  <si>
    <t>総指摘件数</t>
    <rPh sb="0" eb="1">
      <t>ソウ</t>
    </rPh>
    <rPh sb="1" eb="3">
      <t>シテキ</t>
    </rPh>
    <rPh sb="3" eb="5">
      <t>ケンスウ</t>
    </rPh>
    <phoneticPr fontId="2"/>
  </si>
  <si>
    <t>尺度</t>
    <rPh sb="0" eb="2">
      <t>シャクド</t>
    </rPh>
    <phoneticPr fontId="2"/>
  </si>
  <si>
    <t>測定値</t>
    <rPh sb="0" eb="3">
      <t>ソクテイチ</t>
    </rPh>
    <phoneticPr fontId="2"/>
  </si>
  <si>
    <t>人</t>
    <rPh sb="0" eb="1">
      <t>ニン</t>
    </rPh>
    <phoneticPr fontId="2"/>
  </si>
  <si>
    <t>時間</t>
    <rPh sb="0" eb="2">
      <t>ジカン</t>
    </rPh>
    <phoneticPr fontId="2"/>
  </si>
  <si>
    <t>件</t>
    <rPh sb="0" eb="1">
      <t>ケン</t>
    </rPh>
    <phoneticPr fontId="2"/>
  </si>
  <si>
    <t>（フェーズ順序）</t>
    <rPh sb="5" eb="7">
      <t>ジュンジョ</t>
    </rPh>
    <phoneticPr fontId="2"/>
  </si>
  <si>
    <t>要件定義</t>
  </si>
  <si>
    <t>外部設計</t>
  </si>
  <si>
    <t>内部設計</t>
  </si>
  <si>
    <t>プログラム開発</t>
  </si>
  <si>
    <t>システムテスト</t>
  </si>
  <si>
    <t>フェーズ順序定義</t>
    <rPh sb="4" eb="6">
      <t>ジュンジョ</t>
    </rPh>
    <rPh sb="6" eb="8">
      <t>テイギ</t>
    </rPh>
    <phoneticPr fontId="2"/>
  </si>
  <si>
    <t>順序</t>
    <rPh sb="0" eb="2">
      <t>ジュンジョ</t>
    </rPh>
    <phoneticPr fontId="2"/>
  </si>
  <si>
    <t>使用方法</t>
    <rPh sb="0" eb="2">
      <t>シヨウ</t>
    </rPh>
    <rPh sb="2" eb="4">
      <t>ホウホウ</t>
    </rPh>
    <phoneticPr fontId="2"/>
  </si>
  <si>
    <t>本書式は、プロジェクト計画書などのプロジェクト管理系の成果物や、要件定義書や外部設計書などのエンジニアリング系の成果物など</t>
    <rPh sb="0" eb="2">
      <t>ホンショ</t>
    </rPh>
    <rPh sb="2" eb="3">
      <t>シキ</t>
    </rPh>
    <rPh sb="11" eb="13">
      <t>ケイカク</t>
    </rPh>
    <rPh sb="13" eb="14">
      <t>ショ</t>
    </rPh>
    <rPh sb="23" eb="25">
      <t>カンリ</t>
    </rPh>
    <rPh sb="25" eb="26">
      <t>ケイ</t>
    </rPh>
    <rPh sb="27" eb="30">
      <t>セイカブツ</t>
    </rPh>
    <rPh sb="32" eb="34">
      <t>ヨウケン</t>
    </rPh>
    <rPh sb="34" eb="36">
      <t>テイギ</t>
    </rPh>
    <rPh sb="36" eb="37">
      <t>ショ</t>
    </rPh>
    <rPh sb="38" eb="40">
      <t>ガイブ</t>
    </rPh>
    <rPh sb="40" eb="43">
      <t>セッケイショ</t>
    </rPh>
    <rPh sb="54" eb="55">
      <t>ケイ</t>
    </rPh>
    <rPh sb="56" eb="59">
      <t>セイカブツ</t>
    </rPh>
    <phoneticPr fontId="2"/>
  </si>
  <si>
    <t>あらゆる作業成果物のレビューに幅広く使用されることを想定している。</t>
    <rPh sb="4" eb="6">
      <t>サギョウ</t>
    </rPh>
    <rPh sb="6" eb="9">
      <t>セイカブツ</t>
    </rPh>
    <rPh sb="15" eb="17">
      <t>ハバヒロ</t>
    </rPh>
    <rPh sb="18" eb="20">
      <t>シヨウ</t>
    </rPh>
    <rPh sb="26" eb="28">
      <t>ソウテイ</t>
    </rPh>
    <phoneticPr fontId="2"/>
  </si>
  <si>
    <t>項目</t>
    <rPh sb="0" eb="2">
      <t>コウモク</t>
    </rPh>
    <phoneticPr fontId="2"/>
  </si>
  <si>
    <t>指摘数</t>
    <rPh sb="0" eb="2">
      <t>シテキ</t>
    </rPh>
    <rPh sb="2" eb="3">
      <t>スウ</t>
    </rPh>
    <phoneticPr fontId="2"/>
  </si>
  <si>
    <t>対象作業成果物</t>
    <rPh sb="0" eb="2">
      <t>タイショウ</t>
    </rPh>
    <rPh sb="2" eb="4">
      <t>サギョウ</t>
    </rPh>
    <rPh sb="4" eb="7">
      <t>セイカブツ</t>
    </rPh>
    <phoneticPr fontId="2"/>
  </si>
  <si>
    <t>作成工数</t>
    <rPh sb="0" eb="2">
      <t>サクセイ</t>
    </rPh>
    <rPh sb="2" eb="4">
      <t>コウスウ</t>
    </rPh>
    <phoneticPr fontId="2"/>
  </si>
  <si>
    <t>記入方法</t>
    <rPh sb="0" eb="2">
      <t>キニュウ</t>
    </rPh>
    <rPh sb="2" eb="4">
      <t>ホウホウ</t>
    </rPh>
    <phoneticPr fontId="2"/>
  </si>
  <si>
    <t>注意点・補足情報</t>
    <rPh sb="0" eb="3">
      <t>チュウイテン</t>
    </rPh>
    <rPh sb="4" eb="6">
      <t>ホソク</t>
    </rPh>
    <rPh sb="6" eb="8">
      <t>ジョウホウ</t>
    </rPh>
    <phoneticPr fontId="2"/>
  </si>
  <si>
    <t>指摘対応進捗</t>
    <rPh sb="0" eb="2">
      <t>シテキ</t>
    </rPh>
    <rPh sb="2" eb="4">
      <t>タイオウ</t>
    </rPh>
    <rPh sb="4" eb="6">
      <t>シンチョク</t>
    </rPh>
    <phoneticPr fontId="2"/>
  </si>
  <si>
    <t>対象作業成果物</t>
  </si>
  <si>
    <t>検証数</t>
    <rPh sb="0" eb="2">
      <t>ケンショウ</t>
    </rPh>
    <rPh sb="2" eb="3">
      <t>スウ</t>
    </rPh>
    <phoneticPr fontId="2"/>
  </si>
  <si>
    <t>原因区分</t>
    <rPh sb="0" eb="2">
      <t>ゲンイン</t>
    </rPh>
    <rPh sb="2" eb="4">
      <t>クブン</t>
    </rPh>
    <phoneticPr fontId="2"/>
  </si>
  <si>
    <t>◆汎用カテゴリ　（レビューデータを集計／分析する際にプロジェクト固有のカテゴリで分類したい場合に利用する）</t>
    <rPh sb="1" eb="3">
      <t>ハンヨウ</t>
    </rPh>
    <rPh sb="17" eb="19">
      <t>シュウケイ</t>
    </rPh>
    <rPh sb="20" eb="22">
      <t>ブンセキ</t>
    </rPh>
    <rPh sb="24" eb="25">
      <t>サイ</t>
    </rPh>
    <rPh sb="32" eb="34">
      <t>コユウ</t>
    </rPh>
    <rPh sb="40" eb="42">
      <t>ブンルイ</t>
    </rPh>
    <rPh sb="45" eb="47">
      <t>バアイ</t>
    </rPh>
    <rPh sb="48" eb="50">
      <t>リヨウ</t>
    </rPh>
    <phoneticPr fontId="2"/>
  </si>
  <si>
    <t>状態</t>
    <rPh sb="0" eb="2">
      <t>ジョウタイ</t>
    </rPh>
    <phoneticPr fontId="2"/>
  </si>
  <si>
    <t>総数</t>
    <rPh sb="0" eb="2">
      <t>ソウスウ</t>
    </rPh>
    <phoneticPr fontId="2"/>
  </si>
  <si>
    <r>
      <t>最終行：行を追加する際は、既存の行をコピーし、</t>
    </r>
    <r>
      <rPr>
        <b/>
        <sz val="9"/>
        <color indexed="10"/>
        <rFont val="ＭＳ Ｐゴシック"/>
        <family val="3"/>
        <charset val="128"/>
      </rPr>
      <t>この行を選択して挿入してください。</t>
    </r>
    <rPh sb="0" eb="3">
      <t>サイシュウギョウ</t>
    </rPh>
    <rPh sb="4" eb="5">
      <t>ギョウ</t>
    </rPh>
    <rPh sb="6" eb="8">
      <t>ツイカ</t>
    </rPh>
    <rPh sb="10" eb="11">
      <t>サイ</t>
    </rPh>
    <rPh sb="13" eb="15">
      <t>キゾン</t>
    </rPh>
    <rPh sb="16" eb="17">
      <t>ギョウ</t>
    </rPh>
    <rPh sb="25" eb="26">
      <t>ギョウ</t>
    </rPh>
    <rPh sb="27" eb="29">
      <t>センタク</t>
    </rPh>
    <rPh sb="31" eb="33">
      <t>ソウニュウ</t>
    </rPh>
    <phoneticPr fontId="2"/>
  </si>
  <si>
    <t>提案</t>
    <phoneticPr fontId="2"/>
  </si>
  <si>
    <t>レビューデータ</t>
    <phoneticPr fontId="2"/>
  </si>
  <si>
    <t>レビューID</t>
    <phoneticPr fontId="2"/>
  </si>
  <si>
    <t>-</t>
    <phoneticPr fontId="2"/>
  </si>
  <si>
    <t>-</t>
    <phoneticPr fontId="2"/>
  </si>
  <si>
    <t>-</t>
    <phoneticPr fontId="2"/>
  </si>
  <si>
    <t>-</t>
    <phoneticPr fontId="2"/>
  </si>
  <si>
    <t>No</t>
    <phoneticPr fontId="2"/>
  </si>
  <si>
    <t>No</t>
    <phoneticPr fontId="2"/>
  </si>
  <si>
    <t>レビューID</t>
    <phoneticPr fontId="2"/>
  </si>
  <si>
    <t>検証残数</t>
    <rPh sb="0" eb="2">
      <t>ケンショウ</t>
    </rPh>
    <rPh sb="2" eb="4">
      <t>ザンスウ</t>
    </rPh>
    <phoneticPr fontId="2"/>
  </si>
  <si>
    <t>対応残数</t>
    <rPh sb="0" eb="1">
      <t>タイ</t>
    </rPh>
    <rPh sb="1" eb="2">
      <t>オウ</t>
    </rPh>
    <rPh sb="2" eb="3">
      <t>ザン</t>
    </rPh>
    <rPh sb="3" eb="4">
      <t>カズ</t>
    </rPh>
    <phoneticPr fontId="2"/>
  </si>
  <si>
    <t>No</t>
  </si>
  <si>
    <t>観点</t>
    <rPh sb="0" eb="2">
      <t>カンテン</t>
    </rPh>
    <phoneticPr fontId="2"/>
  </si>
  <si>
    <t>設計の妥当性を検証する。</t>
    <rPh sb="0" eb="2">
      <t>セッケイ</t>
    </rPh>
    <rPh sb="3" eb="6">
      <t>ダトウセイ</t>
    </rPh>
    <rPh sb="7" eb="9">
      <t>ケンショウ</t>
    </rPh>
    <phoneticPr fontId="2"/>
  </si>
  <si>
    <t>資料間の不整合がないか、確認する。</t>
    <rPh sb="0" eb="2">
      <t>シリョウ</t>
    </rPh>
    <rPh sb="2" eb="3">
      <t>カン</t>
    </rPh>
    <rPh sb="4" eb="7">
      <t>フセイゴウ</t>
    </rPh>
    <rPh sb="12" eb="14">
      <t>カクニン</t>
    </rPh>
    <phoneticPr fontId="2"/>
  </si>
  <si>
    <t>誤字脱字、形式不備を確認する。</t>
    <rPh sb="0" eb="2">
      <t>ゴジ</t>
    </rPh>
    <rPh sb="2" eb="4">
      <t>ダツジ</t>
    </rPh>
    <rPh sb="5" eb="7">
      <t>ケイシキ</t>
    </rPh>
    <rPh sb="7" eb="9">
      <t>フビ</t>
    </rPh>
    <rPh sb="10" eb="12">
      <t>カクニン</t>
    </rPh>
    <phoneticPr fontId="2"/>
  </si>
  <si>
    <t>仕様変更の取込漏れが無いかを確認する。</t>
    <rPh sb="0" eb="2">
      <t>シヨウ</t>
    </rPh>
    <rPh sb="2" eb="4">
      <t>ヘンコウ</t>
    </rPh>
    <rPh sb="5" eb="7">
      <t>トリコミ</t>
    </rPh>
    <rPh sb="7" eb="8">
      <t>モ</t>
    </rPh>
    <rPh sb="10" eb="11">
      <t>ナ</t>
    </rPh>
    <rPh sb="14" eb="16">
      <t>カクニン</t>
    </rPh>
    <phoneticPr fontId="2"/>
  </si>
  <si>
    <t>No</t>
    <phoneticPr fontId="2"/>
  </si>
  <si>
    <t>◆レビューの参考資料（インプット資料、作業成果物との突き合わせ確認資料等）</t>
    <rPh sb="16" eb="18">
      <t>シリョウ</t>
    </rPh>
    <rPh sb="19" eb="21">
      <t>サギョウ</t>
    </rPh>
    <rPh sb="21" eb="23">
      <t>セイカ</t>
    </rPh>
    <rPh sb="23" eb="24">
      <t>ブツ</t>
    </rPh>
    <rPh sb="26" eb="27">
      <t>ツ</t>
    </rPh>
    <rPh sb="28" eb="29">
      <t>ア</t>
    </rPh>
    <rPh sb="31" eb="33">
      <t>カクニン</t>
    </rPh>
    <rPh sb="33" eb="35">
      <t>シリョウ</t>
    </rPh>
    <rPh sb="35" eb="36">
      <t>ナド</t>
    </rPh>
    <phoneticPr fontId="2"/>
  </si>
  <si>
    <r>
      <t>プロジェクト名</t>
    </r>
    <r>
      <rPr>
        <sz val="9"/>
        <color indexed="10"/>
        <rFont val="ＭＳ Ｐゴシック"/>
        <family val="3"/>
        <charset val="128"/>
      </rPr>
      <t>*</t>
    </r>
    <rPh sb="6" eb="7">
      <t>メイ</t>
    </rPh>
    <phoneticPr fontId="2"/>
  </si>
  <si>
    <t>実施日</t>
    <rPh sb="0" eb="3">
      <t>ジッシビ</t>
    </rPh>
    <phoneticPr fontId="2"/>
  </si>
  <si>
    <t>完了日</t>
    <rPh sb="0" eb="3">
      <t>カンリョウビ</t>
    </rPh>
    <phoneticPr fontId="2"/>
  </si>
  <si>
    <t>◆レビュー対象成果物</t>
    <rPh sb="5" eb="7">
      <t>タイショウ</t>
    </rPh>
    <rPh sb="7" eb="10">
      <t>セイカブツ</t>
    </rPh>
    <phoneticPr fontId="2"/>
  </si>
  <si>
    <t>保留数</t>
    <rPh sb="0" eb="2">
      <t>ホリュウ</t>
    </rPh>
    <rPh sb="2" eb="3">
      <t>スウ</t>
    </rPh>
    <phoneticPr fontId="2"/>
  </si>
  <si>
    <r>
      <t xml:space="preserve">レビューID </t>
    </r>
    <r>
      <rPr>
        <sz val="9"/>
        <color indexed="10"/>
        <rFont val="ＭＳ Ｐゴシック"/>
        <family val="3"/>
        <charset val="128"/>
      </rPr>
      <t>*</t>
    </r>
    <phoneticPr fontId="2"/>
  </si>
  <si>
    <r>
      <t>指摘日</t>
    </r>
    <r>
      <rPr>
        <sz val="9"/>
        <color indexed="10"/>
        <rFont val="ＭＳ Ｐゴシック"/>
        <family val="3"/>
        <charset val="128"/>
      </rPr>
      <t>*</t>
    </r>
    <phoneticPr fontId="2"/>
  </si>
  <si>
    <r>
      <t>指摘者</t>
    </r>
    <r>
      <rPr>
        <sz val="9"/>
        <color indexed="10"/>
        <rFont val="ＭＳ Ｐゴシック"/>
        <family val="3"/>
        <charset val="128"/>
      </rPr>
      <t>*</t>
    </r>
    <rPh sb="0" eb="2">
      <t>シテキ</t>
    </rPh>
    <rPh sb="2" eb="3">
      <t>シャ</t>
    </rPh>
    <phoneticPr fontId="2"/>
  </si>
  <si>
    <r>
      <t>対応状況</t>
    </r>
    <r>
      <rPr>
        <sz val="9"/>
        <color indexed="10"/>
        <rFont val="ＭＳ Ｐゴシック"/>
        <family val="3"/>
        <charset val="128"/>
      </rPr>
      <t>*</t>
    </r>
    <rPh sb="0" eb="2">
      <t>タイオウ</t>
    </rPh>
    <rPh sb="2" eb="4">
      <t>ジョウキョウ</t>
    </rPh>
    <phoneticPr fontId="2"/>
  </si>
  <si>
    <r>
      <t>対応内容</t>
    </r>
    <r>
      <rPr>
        <sz val="9"/>
        <color indexed="10"/>
        <rFont val="ＭＳ Ｐゴシック"/>
        <family val="3"/>
        <charset val="128"/>
      </rPr>
      <t>*</t>
    </r>
    <rPh sb="0" eb="2">
      <t>タイオウ</t>
    </rPh>
    <rPh sb="2" eb="4">
      <t>ナイヨウ</t>
    </rPh>
    <phoneticPr fontId="2"/>
  </si>
  <si>
    <r>
      <t>対応日</t>
    </r>
    <r>
      <rPr>
        <sz val="9"/>
        <color indexed="10"/>
        <rFont val="ＭＳ Ｐゴシック"/>
        <family val="3"/>
        <charset val="128"/>
      </rPr>
      <t>*</t>
    </r>
    <rPh sb="0" eb="2">
      <t>タイオウ</t>
    </rPh>
    <rPh sb="2" eb="3">
      <t>ビ</t>
    </rPh>
    <phoneticPr fontId="2"/>
  </si>
  <si>
    <r>
      <t>対応者</t>
    </r>
    <r>
      <rPr>
        <sz val="9"/>
        <color indexed="10"/>
        <rFont val="ＭＳ Ｐゴシック"/>
        <family val="3"/>
        <charset val="128"/>
      </rPr>
      <t>*</t>
    </r>
    <rPh sb="0" eb="2">
      <t>タイオウ</t>
    </rPh>
    <rPh sb="2" eb="3">
      <t>シャ</t>
    </rPh>
    <phoneticPr fontId="2"/>
  </si>
  <si>
    <r>
      <t>検証日</t>
    </r>
    <r>
      <rPr>
        <sz val="9"/>
        <color indexed="10"/>
        <rFont val="ＭＳ Ｐゴシック"/>
        <family val="3"/>
        <charset val="128"/>
      </rPr>
      <t>*</t>
    </r>
    <rPh sb="0" eb="2">
      <t>ケンショウ</t>
    </rPh>
    <rPh sb="2" eb="3">
      <t>ビ</t>
    </rPh>
    <phoneticPr fontId="2"/>
  </si>
  <si>
    <r>
      <t>検証者</t>
    </r>
    <r>
      <rPr>
        <sz val="9"/>
        <color indexed="10"/>
        <rFont val="ＭＳ Ｐゴシック"/>
        <family val="3"/>
        <charset val="128"/>
      </rPr>
      <t>*</t>
    </r>
    <rPh sb="0" eb="2">
      <t>ケンショウ</t>
    </rPh>
    <rPh sb="2" eb="3">
      <t>シャ</t>
    </rPh>
    <phoneticPr fontId="2"/>
  </si>
  <si>
    <t>レビュー時間密度</t>
    <rPh sb="4" eb="6">
      <t>ジカン</t>
    </rPh>
    <phoneticPr fontId="2"/>
  </si>
  <si>
    <t>あいまい表現</t>
  </si>
  <si>
    <t>仕様取込不備</t>
  </si>
  <si>
    <t>技術的不備</t>
  </si>
  <si>
    <t>考慮不足</t>
  </si>
  <si>
    <t>不整合</t>
  </si>
  <si>
    <t>ルール不順守</t>
  </si>
  <si>
    <t>誤字脱字・形式不備</t>
  </si>
  <si>
    <t>仕様改善提案</t>
    <phoneticPr fontId="2"/>
  </si>
  <si>
    <t>-</t>
    <phoneticPr fontId="2"/>
  </si>
  <si>
    <r>
      <t>対象作業成果物</t>
    </r>
    <r>
      <rPr>
        <sz val="9"/>
        <color indexed="10"/>
        <rFont val="ＭＳ Ｐゴシック"/>
        <family val="3"/>
        <charset val="128"/>
      </rPr>
      <t>*</t>
    </r>
    <phoneticPr fontId="2"/>
  </si>
  <si>
    <t>レビュー効率を算出するために使用。
　レビュー効率＝欠陥数÷レビュー時間</t>
    <rPh sb="7" eb="9">
      <t>サンシュツ</t>
    </rPh>
    <rPh sb="14" eb="16">
      <t>シヨウ</t>
    </rPh>
    <rPh sb="27" eb="29">
      <t>ケッカン</t>
    </rPh>
    <rPh sb="29" eb="30">
      <t>スウ</t>
    </rPh>
    <rPh sb="35" eb="37">
      <t>ジカン</t>
    </rPh>
    <phoneticPr fontId="2"/>
  </si>
  <si>
    <r>
      <t>レビュー方式</t>
    </r>
    <r>
      <rPr>
        <sz val="9"/>
        <color indexed="10"/>
        <rFont val="ＭＳ Ｐゴシック"/>
        <family val="3"/>
        <charset val="128"/>
      </rPr>
      <t>*</t>
    </r>
    <rPh sb="4" eb="6">
      <t>ホウシキ</t>
    </rPh>
    <phoneticPr fontId="2"/>
  </si>
  <si>
    <t>合計</t>
    <rPh sb="0" eb="2">
      <t>ゴウケイ</t>
    </rPh>
    <phoneticPr fontId="2"/>
  </si>
  <si>
    <t>資料名</t>
    <phoneticPr fontId="2"/>
  </si>
  <si>
    <r>
      <t>原因区分</t>
    </r>
    <r>
      <rPr>
        <sz val="9"/>
        <color indexed="10"/>
        <rFont val="ＭＳ Ｐゴシック"/>
        <family val="3"/>
        <charset val="128"/>
      </rPr>
      <t>*</t>
    </r>
    <rPh sb="0" eb="2">
      <t>ゲンイン</t>
    </rPh>
    <phoneticPr fontId="2"/>
  </si>
  <si>
    <r>
      <t>指摘内容</t>
    </r>
    <r>
      <rPr>
        <sz val="9"/>
        <color indexed="10"/>
        <rFont val="ＭＳ Ｐゴシック"/>
        <family val="3"/>
        <charset val="128"/>
      </rPr>
      <t>*</t>
    </r>
    <rPh sb="0" eb="2">
      <t>シテキ</t>
    </rPh>
    <rPh sb="2" eb="4">
      <t>ナイヨウ</t>
    </rPh>
    <phoneticPr fontId="2"/>
  </si>
  <si>
    <r>
      <t>実施フェーズ</t>
    </r>
    <r>
      <rPr>
        <sz val="9"/>
        <color indexed="10"/>
        <rFont val="ＭＳ Ｐゴシック"/>
        <family val="3"/>
        <charset val="128"/>
      </rPr>
      <t>*</t>
    </r>
    <phoneticPr fontId="2"/>
  </si>
  <si>
    <t>アーキテクチャ</t>
    <phoneticPr fontId="2"/>
  </si>
  <si>
    <t>レビュー方式</t>
  </si>
  <si>
    <t>アーキテクチャ</t>
  </si>
  <si>
    <t>対応数</t>
    <phoneticPr fontId="2"/>
  </si>
  <si>
    <t>対応残数</t>
    <phoneticPr fontId="2"/>
  </si>
  <si>
    <t>検証残数</t>
    <phoneticPr fontId="2"/>
  </si>
  <si>
    <t>汎用カテゴリ1</t>
    <rPh sb="0" eb="2">
      <t>ハンヨウ</t>
    </rPh>
    <phoneticPr fontId="2"/>
  </si>
  <si>
    <t>汎用カテゴリ2</t>
    <rPh sb="0" eb="2">
      <t>ハンヨウ</t>
    </rPh>
    <phoneticPr fontId="2"/>
  </si>
  <si>
    <t>汎用カテゴリ3</t>
    <rPh sb="0" eb="2">
      <t>ハンヨウ</t>
    </rPh>
    <phoneticPr fontId="2"/>
  </si>
  <si>
    <t>単位</t>
    <rPh sb="0" eb="2">
      <t>タンイ</t>
    </rPh>
    <phoneticPr fontId="2"/>
  </si>
  <si>
    <t>yyyy/m/d</t>
  </si>
  <si>
    <t>yyyy/m/d</t>
    <phoneticPr fontId="2"/>
  </si>
  <si>
    <t>総指摘件数に対する検証件数　｛検証数/指摘数｝</t>
    <rPh sb="0" eb="1">
      <t>ソウ</t>
    </rPh>
    <rPh sb="1" eb="3">
      <t>シテキ</t>
    </rPh>
    <rPh sb="3" eb="5">
      <t>ケンスウ</t>
    </rPh>
    <rPh sb="6" eb="7">
      <t>タイ</t>
    </rPh>
    <rPh sb="9" eb="11">
      <t>ケンショウ</t>
    </rPh>
    <rPh sb="11" eb="13">
      <t>ケンスウ</t>
    </rPh>
    <rPh sb="15" eb="17">
      <t>ケンショウ</t>
    </rPh>
    <rPh sb="17" eb="18">
      <t>スウ</t>
    </rPh>
    <rPh sb="19" eb="21">
      <t>シテキ</t>
    </rPh>
    <rPh sb="21" eb="22">
      <t>スウ</t>
    </rPh>
    <phoneticPr fontId="2"/>
  </si>
  <si>
    <t>元資料不備</t>
    <phoneticPr fontId="2"/>
  </si>
  <si>
    <t>総欠陥数</t>
    <rPh sb="0" eb="1">
      <t>ソウ</t>
    </rPh>
    <rPh sb="1" eb="3">
      <t>ケッカン</t>
    </rPh>
    <rPh sb="3" eb="4">
      <t>スウ</t>
    </rPh>
    <phoneticPr fontId="2"/>
  </si>
  <si>
    <t>元資料不備</t>
    <phoneticPr fontId="2"/>
  </si>
  <si>
    <t>内容</t>
    <rPh sb="0" eb="2">
      <t>ナイヨウ</t>
    </rPh>
    <phoneticPr fontId="2"/>
  </si>
  <si>
    <t>・</t>
    <phoneticPr fontId="2"/>
  </si>
  <si>
    <t>レビュー実施記録</t>
    <phoneticPr fontId="2"/>
  </si>
  <si>
    <t>レビューの観点</t>
    <rPh sb="5" eb="7">
      <t>カンテン</t>
    </rPh>
    <phoneticPr fontId="2"/>
  </si>
  <si>
    <t>レビュー開始日。</t>
    <rPh sb="4" eb="7">
      <t>カイシビ</t>
    </rPh>
    <phoneticPr fontId="2"/>
  </si>
  <si>
    <t>検証完了日。</t>
    <rPh sb="0" eb="2">
      <t>ケンショウ</t>
    </rPh>
    <rPh sb="2" eb="5">
      <t>カンリョウビ</t>
    </rPh>
    <phoneticPr fontId="2"/>
  </si>
  <si>
    <t>レビュー対象成果物の総作成工数。</t>
    <rPh sb="4" eb="6">
      <t>タイショウ</t>
    </rPh>
    <rPh sb="6" eb="9">
      <t>セイカブツ</t>
    </rPh>
    <rPh sb="10" eb="11">
      <t>ソウ</t>
    </rPh>
    <rPh sb="11" eb="13">
      <t>サクセイ</t>
    </rPh>
    <rPh sb="13" eb="15">
      <t>コウスウ</t>
    </rPh>
    <phoneticPr fontId="2"/>
  </si>
  <si>
    <t>レビュー担当者総数。</t>
    <rPh sb="4" eb="7">
      <t>タントウシャ</t>
    </rPh>
    <rPh sb="7" eb="9">
      <t>ソウスウ</t>
    </rPh>
    <phoneticPr fontId="2"/>
  </si>
  <si>
    <r>
      <t>成果物種類</t>
    </r>
    <r>
      <rPr>
        <sz val="9"/>
        <color indexed="10"/>
        <rFont val="ＭＳ Ｐゴシック"/>
        <family val="3"/>
        <charset val="128"/>
      </rPr>
      <t>*</t>
    </r>
    <rPh sb="0" eb="3">
      <t>セイカブツ</t>
    </rPh>
    <rPh sb="3" eb="5">
      <t>シュルイ</t>
    </rPh>
    <phoneticPr fontId="2"/>
  </si>
  <si>
    <t>保留数</t>
    <rPh sb="2" eb="3">
      <t>スウ</t>
    </rPh>
    <phoneticPr fontId="2"/>
  </si>
  <si>
    <t>レビュー単位で、一意になるように決定する。</t>
    <rPh sb="4" eb="6">
      <t>タンイ</t>
    </rPh>
    <rPh sb="8" eb="10">
      <t>イチイ</t>
    </rPh>
    <rPh sb="16" eb="18">
      <t>ケッテイ</t>
    </rPh>
    <phoneticPr fontId="2"/>
  </si>
  <si>
    <t>詳細な定義は、「レビュープロセスガイドライン」を参照。</t>
    <phoneticPr fontId="2"/>
  </si>
  <si>
    <t>汎用カテゴリ</t>
    <rPh sb="0" eb="2">
      <t>ハンヨウ</t>
    </rPh>
    <phoneticPr fontId="2"/>
  </si>
  <si>
    <t xml:space="preserve">例）サブシステム名、機能名、規模尺度など
</t>
    <rPh sb="0" eb="1">
      <t>レイ</t>
    </rPh>
    <rPh sb="8" eb="9">
      <t>メイ</t>
    </rPh>
    <rPh sb="10" eb="12">
      <t>キノウ</t>
    </rPh>
    <rPh sb="12" eb="13">
      <t>メイ</t>
    </rPh>
    <rPh sb="14" eb="16">
      <t>キボ</t>
    </rPh>
    <rPh sb="16" eb="18">
      <t>シャクド</t>
    </rPh>
    <phoneticPr fontId="2"/>
  </si>
  <si>
    <t>アーキテクチャ</t>
    <phoneticPr fontId="2"/>
  </si>
  <si>
    <t xml:space="preserve">レビュー対象成果物の作成に要した工数を記入する。
既存成果物の修正部分のレビューの場合には、修正に要した工数のみを記入する。
【記入単位】
　・時間単位で記入する。
　・分は小数点第一位で表現する。
　・指摘対応時の工数（是正工数）は含めない。
</t>
    <rPh sb="4" eb="6">
      <t>タイショウ</t>
    </rPh>
    <rPh sb="6" eb="9">
      <t>セイカブツ</t>
    </rPh>
    <rPh sb="10" eb="12">
      <t>サクセイ</t>
    </rPh>
    <rPh sb="13" eb="14">
      <t>ヨウ</t>
    </rPh>
    <rPh sb="16" eb="18">
      <t>コウスウ</t>
    </rPh>
    <rPh sb="19" eb="21">
      <t>キニュウ</t>
    </rPh>
    <rPh sb="25" eb="27">
      <t>キゾン</t>
    </rPh>
    <rPh sb="27" eb="30">
      <t>セイカブツ</t>
    </rPh>
    <rPh sb="31" eb="33">
      <t>シュウセイ</t>
    </rPh>
    <rPh sb="33" eb="35">
      <t>ブブン</t>
    </rPh>
    <rPh sb="41" eb="43">
      <t>バアイ</t>
    </rPh>
    <rPh sb="46" eb="48">
      <t>シュウセイ</t>
    </rPh>
    <rPh sb="49" eb="50">
      <t>ヨウ</t>
    </rPh>
    <rPh sb="52" eb="54">
      <t>コウスウ</t>
    </rPh>
    <rPh sb="57" eb="59">
      <t>キニュウ</t>
    </rPh>
    <rPh sb="64" eb="66">
      <t>キニュウ</t>
    </rPh>
    <rPh sb="66" eb="68">
      <t>タンイ</t>
    </rPh>
    <rPh sb="72" eb="74">
      <t>ジカン</t>
    </rPh>
    <rPh sb="74" eb="76">
      <t>タンイ</t>
    </rPh>
    <rPh sb="77" eb="79">
      <t>キニュウ</t>
    </rPh>
    <rPh sb="85" eb="86">
      <t>フン</t>
    </rPh>
    <rPh sb="87" eb="90">
      <t>ショウスウテン</t>
    </rPh>
    <rPh sb="90" eb="91">
      <t>ダイ</t>
    </rPh>
    <rPh sb="91" eb="93">
      <t>イチイ</t>
    </rPh>
    <rPh sb="94" eb="96">
      <t>ヒョウゲン</t>
    </rPh>
    <rPh sb="102" eb="104">
      <t>シテキ</t>
    </rPh>
    <rPh sb="104" eb="106">
      <t>タイオウ</t>
    </rPh>
    <rPh sb="106" eb="107">
      <t>ジ</t>
    </rPh>
    <rPh sb="108" eb="110">
      <t>コウスウ</t>
    </rPh>
    <rPh sb="111" eb="113">
      <t>ゼセイ</t>
    </rPh>
    <rPh sb="113" eb="115">
      <t>コウスウ</t>
    </rPh>
    <rPh sb="117" eb="118">
      <t>フク</t>
    </rPh>
    <phoneticPr fontId="2"/>
  </si>
  <si>
    <t>レビューで発見した指摘の内容を、レビューアが記入する。</t>
    <rPh sb="5" eb="7">
      <t>ハッケン</t>
    </rPh>
    <rPh sb="9" eb="11">
      <t>シテキ</t>
    </rPh>
    <rPh sb="12" eb="14">
      <t>ナイヨウ</t>
    </rPh>
    <rPh sb="22" eb="24">
      <t>キニュウ</t>
    </rPh>
    <phoneticPr fontId="2"/>
  </si>
  <si>
    <t>【基本情報】</t>
    <rPh sb="1" eb="3">
      <t>キホン</t>
    </rPh>
    <rPh sb="3" eb="5">
      <t>ジョウホウ</t>
    </rPh>
    <phoneticPr fontId="2"/>
  </si>
  <si>
    <t>【レビュー指摘リスト】</t>
    <rPh sb="5" eb="7">
      <t>シテキ</t>
    </rPh>
    <phoneticPr fontId="2"/>
  </si>
  <si>
    <t>対応状況</t>
  </si>
  <si>
    <t>レビュー時間密度</t>
    <rPh sb="4" eb="6">
      <t>ジカン</t>
    </rPh>
    <rPh sb="6" eb="8">
      <t>ミツド</t>
    </rPh>
    <phoneticPr fontId="2"/>
  </si>
  <si>
    <t xml:space="preserve">レビュー完了までの工数に占める、レビュー時間。「レビュー時間」と「作成工数」から自動算出する。
　レビュー時間密度＝レビュー時間/（レビュー時間＋作成工数）
</t>
    <rPh sb="28" eb="30">
      <t>ジカン</t>
    </rPh>
    <rPh sb="33" eb="35">
      <t>サクセイ</t>
    </rPh>
    <rPh sb="35" eb="37">
      <t>コウスウ</t>
    </rPh>
    <rPh sb="40" eb="42">
      <t>ジドウ</t>
    </rPh>
    <rPh sb="42" eb="44">
      <t>サンシュツ</t>
    </rPh>
    <rPh sb="53" eb="55">
      <t>ジカン</t>
    </rPh>
    <rPh sb="55" eb="57">
      <t>ミツド</t>
    </rPh>
    <phoneticPr fontId="2"/>
  </si>
  <si>
    <t xml:space="preserve">レビュー時間密度を算出するために使用。
</t>
    <rPh sb="9" eb="11">
      <t>サンシュツ</t>
    </rPh>
    <rPh sb="16" eb="18">
      <t>シヨウ</t>
    </rPh>
    <phoneticPr fontId="2"/>
  </si>
  <si>
    <t>レビューの予定／実績の管理および、指摘事項の記録と対応状況を追跡する。</t>
    <rPh sb="5" eb="7">
      <t>ヨテイ</t>
    </rPh>
    <rPh sb="8" eb="10">
      <t>ジッセキ</t>
    </rPh>
    <rPh sb="11" eb="13">
      <t>カンリ</t>
    </rPh>
    <rPh sb="17" eb="19">
      <t>シテキ</t>
    </rPh>
    <rPh sb="19" eb="21">
      <t>ジコウ</t>
    </rPh>
    <rPh sb="22" eb="24">
      <t>キロク</t>
    </rPh>
    <rPh sb="25" eb="27">
      <t>タイオウ</t>
    </rPh>
    <rPh sb="27" eb="29">
      <t>ジョウキョウ</t>
    </rPh>
    <rPh sb="30" eb="32">
      <t>ツイセキ</t>
    </rPh>
    <phoneticPr fontId="2"/>
  </si>
  <si>
    <t>元資料不備、仕様取込不備、技術的不備、あいまい表現、考慮不足、不整合、ルール不順守の合計。</t>
    <rPh sb="0" eb="1">
      <t>モト</t>
    </rPh>
    <rPh sb="1" eb="3">
      <t>シリョウ</t>
    </rPh>
    <rPh sb="3" eb="5">
      <t>フビ</t>
    </rPh>
    <rPh sb="6" eb="8">
      <t>シヨウ</t>
    </rPh>
    <rPh sb="8" eb="10">
      <t>トリコミ</t>
    </rPh>
    <rPh sb="10" eb="12">
      <t>フビ</t>
    </rPh>
    <rPh sb="13" eb="15">
      <t>ギジュツ</t>
    </rPh>
    <rPh sb="15" eb="16">
      <t>テキ</t>
    </rPh>
    <rPh sb="16" eb="18">
      <t>フビ</t>
    </rPh>
    <rPh sb="23" eb="25">
      <t>ヒョウゲン</t>
    </rPh>
    <rPh sb="26" eb="28">
      <t>コウリョ</t>
    </rPh>
    <rPh sb="28" eb="30">
      <t>ブソク</t>
    </rPh>
    <rPh sb="31" eb="34">
      <t>フセイゴウ</t>
    </rPh>
    <rPh sb="38" eb="39">
      <t>フ</t>
    </rPh>
    <rPh sb="39" eb="41">
      <t>ジュンシュ</t>
    </rPh>
    <rPh sb="42" eb="44">
      <t>ゴウケイ</t>
    </rPh>
    <phoneticPr fontId="2"/>
  </si>
  <si>
    <t>■</t>
    <phoneticPr fontId="2"/>
  </si>
  <si>
    <t>シート構成</t>
  </si>
  <si>
    <t>レビュー実施記録の記入方法および注意点</t>
    <phoneticPr fontId="2"/>
  </si>
  <si>
    <t>※特に注意が必要な記入項目について、以下に説明する。</t>
    <rPh sb="1" eb="2">
      <t>トク</t>
    </rPh>
    <rPh sb="3" eb="5">
      <t>チュウイ</t>
    </rPh>
    <rPh sb="6" eb="8">
      <t>ヒツヨウ</t>
    </rPh>
    <rPh sb="9" eb="11">
      <t>キニュウ</t>
    </rPh>
    <rPh sb="11" eb="13">
      <t>コウモク</t>
    </rPh>
    <rPh sb="18" eb="20">
      <t>イカ</t>
    </rPh>
    <rPh sb="21" eb="23">
      <t>セツメイ</t>
    </rPh>
    <phoneticPr fontId="2"/>
  </si>
  <si>
    <t>レビューデータサマリ</t>
    <phoneticPr fontId="2"/>
  </si>
  <si>
    <t>◆レビューの観点</t>
    <rPh sb="6" eb="8">
      <t>カンテン</t>
    </rPh>
    <phoneticPr fontId="2"/>
  </si>
  <si>
    <t xml:space="preserve">レビューを実施する狙いは何か、何のためのレビューなのか（レビューの目的）を、記入する。
【標準的な観点】
　・設計の妥当性を検証する。
　・資料間の不整合がないか、確認する。
　・誤字脱字、形式不備を確認する。
　・仕様変更の取込漏れが無いかを確認する。
</t>
    <rPh sb="5" eb="7">
      <t>ジッシ</t>
    </rPh>
    <rPh sb="9" eb="10">
      <t>ネラ</t>
    </rPh>
    <rPh sb="12" eb="13">
      <t>ナニ</t>
    </rPh>
    <rPh sb="15" eb="16">
      <t>ナン</t>
    </rPh>
    <rPh sb="33" eb="35">
      <t>モクテキ</t>
    </rPh>
    <rPh sb="38" eb="40">
      <t>キニュウ</t>
    </rPh>
    <rPh sb="45" eb="48">
      <t>ヒョウジュンテキ</t>
    </rPh>
    <rPh sb="49" eb="51">
      <t>カンテン</t>
    </rPh>
    <phoneticPr fontId="2"/>
  </si>
  <si>
    <t>レビューアは、レビューを実施する前に必要とされる観点が何かを一読すること。
また、フェーズ毎に観点を見直し、適切な観点でレビューが実施できるようにすること。</t>
    <rPh sb="12" eb="14">
      <t>ジッシ</t>
    </rPh>
    <rPh sb="16" eb="17">
      <t>マエ</t>
    </rPh>
    <rPh sb="18" eb="20">
      <t>ヒツヨウ</t>
    </rPh>
    <rPh sb="24" eb="26">
      <t>カンテン</t>
    </rPh>
    <rPh sb="27" eb="28">
      <t>ナニ</t>
    </rPh>
    <rPh sb="30" eb="32">
      <t>イチドク</t>
    </rPh>
    <rPh sb="47" eb="49">
      <t>カンテン</t>
    </rPh>
    <rPh sb="50" eb="52">
      <t>ミナオ</t>
    </rPh>
    <rPh sb="54" eb="56">
      <t>テキセツ</t>
    </rPh>
    <rPh sb="57" eb="59">
      <t>カンテン</t>
    </rPh>
    <rPh sb="65" eb="67">
      <t>ジッシ</t>
    </rPh>
    <phoneticPr fontId="2"/>
  </si>
  <si>
    <t>結合テストをITa、ITbに分割していない場合は、結合テスト（ITa）を選択する。</t>
    <rPh sb="0" eb="2">
      <t>ケツゴウ</t>
    </rPh>
    <rPh sb="14" eb="16">
      <t>ブンカツ</t>
    </rPh>
    <rPh sb="21" eb="23">
      <t>バアイ</t>
    </rPh>
    <rPh sb="25" eb="27">
      <t>ケツゴウ</t>
    </rPh>
    <rPh sb="36" eb="38">
      <t>センタク</t>
    </rPh>
    <phoneticPr fontId="2"/>
  </si>
  <si>
    <t>（赤字の"*"が記述してある項目は必須入力項目です）</t>
  </si>
  <si>
    <t>結合テスト（ITa）</t>
  </si>
  <si>
    <t>結合テスト（ITb）</t>
  </si>
  <si>
    <t>1:提案 2:要件定義 3:外部設計 4:内部設計 5:プログラム開発 6:結合テスト（ITa） 7:結合テスト（ITb） 8:システムテスト</t>
  </si>
  <si>
    <t>レビュー状況分析表にて収集、分析するためのデータ（記入項目は無し）。</t>
    <rPh sb="4" eb="6">
      <t>ジョウキョウ</t>
    </rPh>
    <rPh sb="6" eb="8">
      <t>ブンセキ</t>
    </rPh>
    <rPh sb="8" eb="9">
      <t>ヒョウ</t>
    </rPh>
    <rPh sb="11" eb="13">
      <t>シュウシュウ</t>
    </rPh>
    <rPh sb="14" eb="16">
      <t>ブンセキ</t>
    </rPh>
    <rPh sb="25" eb="27">
      <t>キニュウ</t>
    </rPh>
    <rPh sb="27" eb="29">
      <t>コウモク</t>
    </rPh>
    <rPh sb="30" eb="31">
      <t>ナ</t>
    </rPh>
    <phoneticPr fontId="2"/>
  </si>
  <si>
    <t>レビュー観点</t>
    <rPh sb="4" eb="6">
      <t>カンテン</t>
    </rPh>
    <phoneticPr fontId="2"/>
  </si>
  <si>
    <t>開発工程成果物作成時／レビュー実施時の確認ポイント</t>
    <rPh sb="0" eb="2">
      <t>カイハツ</t>
    </rPh>
    <rPh sb="2" eb="4">
      <t>コウテイ</t>
    </rPh>
    <rPh sb="4" eb="7">
      <t>セイカブツ</t>
    </rPh>
    <rPh sb="7" eb="9">
      <t>サクセイ</t>
    </rPh>
    <rPh sb="9" eb="10">
      <t>ジ</t>
    </rPh>
    <rPh sb="15" eb="17">
      <t>ジッシ</t>
    </rPh>
    <rPh sb="17" eb="18">
      <t>ジ</t>
    </rPh>
    <rPh sb="19" eb="21">
      <t>カクニン</t>
    </rPh>
    <phoneticPr fontId="2"/>
  </si>
  <si>
    <t>分類</t>
    <rPh sb="0" eb="2">
      <t>ブンルイ</t>
    </rPh>
    <phoneticPr fontId="2"/>
  </si>
  <si>
    <t>チェック項目</t>
    <rPh sb="4" eb="6">
      <t>コウモク</t>
    </rPh>
    <phoneticPr fontId="2"/>
  </si>
  <si>
    <t>採用</t>
    <rPh sb="0" eb="2">
      <t>サイヨウ</t>
    </rPh>
    <phoneticPr fontId="2"/>
  </si>
  <si>
    <t>移行／切替、テスト方針の観点</t>
    <rPh sb="0" eb="2">
      <t>イコウ</t>
    </rPh>
    <rPh sb="3" eb="4">
      <t>キ</t>
    </rPh>
    <rPh sb="4" eb="5">
      <t>カ</t>
    </rPh>
    <rPh sb="9" eb="11">
      <t>ホウシン</t>
    </rPh>
    <rPh sb="12" eb="14">
      <t>カンテン</t>
    </rPh>
    <phoneticPr fontId="2"/>
  </si>
  <si>
    <t>No</t>
    <phoneticPr fontId="2"/>
  </si>
  <si>
    <t>本番確認の観点</t>
    <rPh sb="0" eb="2">
      <t>ホンバン</t>
    </rPh>
    <rPh sb="2" eb="4">
      <t>カクニン</t>
    </rPh>
    <rPh sb="5" eb="7">
      <t>カンテン</t>
    </rPh>
    <phoneticPr fontId="2"/>
  </si>
  <si>
    <t>ソースコード</t>
    <phoneticPr fontId="2"/>
  </si>
  <si>
    <t>その他</t>
    <rPh sb="2" eb="3">
      <t>タ</t>
    </rPh>
    <phoneticPr fontId="2"/>
  </si>
  <si>
    <t>開発の目的が明確になっているか。</t>
    <phoneticPr fontId="2"/>
  </si>
  <si>
    <t>出力結果・還元物として、どういう内容が必要なのか明確になっているか。</t>
    <rPh sb="5" eb="7">
      <t>カンゲン</t>
    </rPh>
    <rPh sb="7" eb="8">
      <t>ブツ</t>
    </rPh>
    <rPh sb="16" eb="18">
      <t>ナイヨウ</t>
    </rPh>
    <rPh sb="19" eb="21">
      <t>ヒツヨウ</t>
    </rPh>
    <phoneticPr fontId="2"/>
  </si>
  <si>
    <t>出力結果を得るために必要な入力情報が明確になっているか。</t>
    <rPh sb="15" eb="17">
      <t>ジョウホウ</t>
    </rPh>
    <phoneticPr fontId="2"/>
  </si>
  <si>
    <t>全体の運用イメージが明確になっているか。</t>
    <phoneticPr fontId="2"/>
  </si>
  <si>
    <t>実行条件毎の処理の流れが正しいか。</t>
    <rPh sb="0" eb="2">
      <t>ジッコウ</t>
    </rPh>
    <rPh sb="2" eb="4">
      <t>ジョウケン</t>
    </rPh>
    <rPh sb="4" eb="5">
      <t>ゴト</t>
    </rPh>
    <rPh sb="6" eb="8">
      <t>ショリ</t>
    </rPh>
    <rPh sb="9" eb="10">
      <t>ナガ</t>
    </rPh>
    <rPh sb="12" eb="13">
      <t>タダ</t>
    </rPh>
    <phoneticPr fontId="2"/>
  </si>
  <si>
    <t>機能間の連動（実行タイミング、データの授受）が正しいか。</t>
    <rPh sb="0" eb="2">
      <t>キノウ</t>
    </rPh>
    <rPh sb="2" eb="3">
      <t>アイダ</t>
    </rPh>
    <rPh sb="4" eb="6">
      <t>レンドウ</t>
    </rPh>
    <rPh sb="7" eb="9">
      <t>ジッコウ</t>
    </rPh>
    <rPh sb="19" eb="21">
      <t>ジュジュ</t>
    </rPh>
    <rPh sb="23" eb="24">
      <t>タダ</t>
    </rPh>
    <phoneticPr fontId="2"/>
  </si>
  <si>
    <t>要件が漏れなく外部設計に落とし込まれているか。</t>
    <rPh sb="0" eb="2">
      <t>ヨウケン</t>
    </rPh>
    <rPh sb="3" eb="4">
      <t>モ</t>
    </rPh>
    <rPh sb="7" eb="9">
      <t>ガイブ</t>
    </rPh>
    <rPh sb="9" eb="11">
      <t>セッケイ</t>
    </rPh>
    <rPh sb="12" eb="13">
      <t>オ</t>
    </rPh>
    <rPh sb="15" eb="16">
      <t>コ</t>
    </rPh>
    <phoneticPr fontId="2"/>
  </si>
  <si>
    <t>モジュール間での実行タイミング、データの授受が正しいか。</t>
    <rPh sb="5" eb="6">
      <t>アイダ</t>
    </rPh>
    <rPh sb="8" eb="10">
      <t>ジッコウ</t>
    </rPh>
    <rPh sb="20" eb="22">
      <t>ジュジュ</t>
    </rPh>
    <rPh sb="23" eb="24">
      <t>タダ</t>
    </rPh>
    <phoneticPr fontId="2"/>
  </si>
  <si>
    <t>共通サブルーチンにより、共通化が図られているか。</t>
    <rPh sb="0" eb="2">
      <t>キョウツウ</t>
    </rPh>
    <rPh sb="12" eb="15">
      <t>キョウツウカ</t>
    </rPh>
    <rPh sb="16" eb="17">
      <t>ハカ</t>
    </rPh>
    <phoneticPr fontId="2"/>
  </si>
  <si>
    <t>設計書内での整合性が取れているか。</t>
    <rPh sb="0" eb="3">
      <t>セッケイショ</t>
    </rPh>
    <rPh sb="3" eb="4">
      <t>ナイ</t>
    </rPh>
    <rPh sb="6" eb="9">
      <t>セイゴウセイ</t>
    </rPh>
    <rPh sb="10" eb="11">
      <t>ト</t>
    </rPh>
    <phoneticPr fontId="2"/>
  </si>
  <si>
    <t>ファイル、データベースの更新、参照関係、シーケンスの整合性が取れているか。</t>
    <rPh sb="12" eb="14">
      <t>コウシン</t>
    </rPh>
    <rPh sb="15" eb="17">
      <t>サンショウ</t>
    </rPh>
    <rPh sb="17" eb="19">
      <t>カンケイ</t>
    </rPh>
    <rPh sb="26" eb="29">
      <t>セイゴウセイ</t>
    </rPh>
    <rPh sb="30" eb="31">
      <t>ト</t>
    </rPh>
    <phoneticPr fontId="2"/>
  </si>
  <si>
    <t>機能間の連動（実行タイミング、データの授受）が明確になっているか。</t>
    <phoneticPr fontId="2"/>
  </si>
  <si>
    <t>対応機能の先行／後続機能に問題はないか。</t>
    <phoneticPr fontId="2"/>
  </si>
  <si>
    <t>プログラムスキャン結果の確認に問題はないか。</t>
    <rPh sb="9" eb="11">
      <t>ケッカ</t>
    </rPh>
    <rPh sb="12" eb="14">
      <t>カクニン</t>
    </rPh>
    <rPh sb="15" eb="17">
      <t>モンダイ</t>
    </rPh>
    <phoneticPr fontId="2"/>
  </si>
  <si>
    <t>他業務のインタフェースに影響はあるか。（影響がある場合）他業務とのレビューは実施出来ているか。</t>
    <phoneticPr fontId="2"/>
  </si>
  <si>
    <t>移行／切替ファイルは存在するか。（存在する場合）対象ファイルの洗い出し、一覧等で明示化され把握出来ているか。</t>
    <phoneticPr fontId="2"/>
  </si>
  <si>
    <t>処理断面の確認が必要な対応か。
（繰り回しテストを実施する必要があるか、テスト方針の確認）</t>
    <rPh sb="0" eb="2">
      <t>ショリ</t>
    </rPh>
    <rPh sb="2" eb="4">
      <t>ダンメン</t>
    </rPh>
    <rPh sb="5" eb="7">
      <t>カクニン</t>
    </rPh>
    <rPh sb="8" eb="10">
      <t>ヒツヨウ</t>
    </rPh>
    <rPh sb="11" eb="13">
      <t>タイオウ</t>
    </rPh>
    <rPh sb="17" eb="18">
      <t>ク</t>
    </rPh>
    <rPh sb="19" eb="20">
      <t>マワ</t>
    </rPh>
    <rPh sb="25" eb="27">
      <t>ジッシ</t>
    </rPh>
    <rPh sb="29" eb="31">
      <t>ヒツヨウ</t>
    </rPh>
    <rPh sb="39" eb="41">
      <t>ホウシン</t>
    </rPh>
    <rPh sb="42" eb="44">
      <t>カクニン</t>
    </rPh>
    <phoneticPr fontId="2"/>
  </si>
  <si>
    <t>大量データでのボリュームテストの要否を確認しているか。
（例：1日分の件数にて、テストを実施する必要があるかの確認）</t>
    <rPh sb="0" eb="2">
      <t>タイリョウ</t>
    </rPh>
    <rPh sb="16" eb="18">
      <t>ヨウヒ</t>
    </rPh>
    <rPh sb="19" eb="21">
      <t>カクニン</t>
    </rPh>
    <rPh sb="29" eb="30">
      <t>レイ</t>
    </rPh>
    <rPh sb="32" eb="33">
      <t>ニチ</t>
    </rPh>
    <rPh sb="33" eb="34">
      <t>ブン</t>
    </rPh>
    <rPh sb="35" eb="37">
      <t>ケンスウ</t>
    </rPh>
    <rPh sb="44" eb="46">
      <t>ジッシ</t>
    </rPh>
    <rPh sb="48" eb="50">
      <t>ヒツヨウ</t>
    </rPh>
    <rPh sb="55" eb="57">
      <t>カクニン</t>
    </rPh>
    <phoneticPr fontId="2"/>
  </si>
  <si>
    <t>事前処理の計画書を作成しているか。</t>
    <rPh sb="0" eb="2">
      <t>ジゼン</t>
    </rPh>
    <rPh sb="2" eb="4">
      <t>ショリ</t>
    </rPh>
    <rPh sb="5" eb="7">
      <t>ケイカク</t>
    </rPh>
    <rPh sb="7" eb="8">
      <t>ショ</t>
    </rPh>
    <rPh sb="9" eb="11">
      <t>サクセイ</t>
    </rPh>
    <phoneticPr fontId="2"/>
  </si>
  <si>
    <t>事前処理の目的に対して必要な確認ポイントが抜け漏れていないか。</t>
    <rPh sb="0" eb="2">
      <t>ジゼン</t>
    </rPh>
    <rPh sb="2" eb="4">
      <t>ショリ</t>
    </rPh>
    <rPh sb="5" eb="7">
      <t>モクテキ</t>
    </rPh>
    <rPh sb="8" eb="9">
      <t>タイ</t>
    </rPh>
    <rPh sb="11" eb="13">
      <t>ヒツヨウ</t>
    </rPh>
    <rPh sb="14" eb="16">
      <t>カクニン</t>
    </rPh>
    <rPh sb="21" eb="22">
      <t>ヌ</t>
    </rPh>
    <rPh sb="23" eb="24">
      <t>モ</t>
    </rPh>
    <phoneticPr fontId="2"/>
  </si>
  <si>
    <t>他業務に確認を依頼すべき事項はあるか。</t>
    <rPh sb="4" eb="6">
      <t>カクニン</t>
    </rPh>
    <rPh sb="7" eb="9">
      <t>イライ</t>
    </rPh>
    <rPh sb="12" eb="14">
      <t>ジコウ</t>
    </rPh>
    <phoneticPr fontId="2"/>
  </si>
  <si>
    <t>項目追加の際、既存項目の一番後ろに追加しているか</t>
    <phoneticPr fontId="2"/>
  </si>
  <si>
    <t>入力データ（処理対象）に漏れはないか。</t>
    <phoneticPr fontId="2"/>
  </si>
  <si>
    <t>抽象的な表現になっていないか。
（例：各種データ、全てのデータ等→具体的なデータ名で記載）</t>
    <rPh sb="17" eb="18">
      <t>レイ</t>
    </rPh>
    <phoneticPr fontId="2"/>
  </si>
  <si>
    <t>一意または範囲が特定出来る記載になっているか。</t>
    <rPh sb="0" eb="2">
      <t>イチイ</t>
    </rPh>
    <rPh sb="5" eb="7">
      <t>ハンイ</t>
    </rPh>
    <rPh sb="8" eb="10">
      <t>トクテイ</t>
    </rPh>
    <rPh sb="10" eb="12">
      <t>デキ</t>
    </rPh>
    <rPh sb="13" eb="15">
      <t>キサイ</t>
    </rPh>
    <phoneticPr fontId="2"/>
  </si>
  <si>
    <t>処理内容に漏れはないか、処理対象が全て処理されているか。</t>
    <rPh sb="0" eb="2">
      <t>ショリ</t>
    </rPh>
    <rPh sb="2" eb="4">
      <t>ナイヨウ</t>
    </rPh>
    <rPh sb="5" eb="6">
      <t>モ</t>
    </rPh>
    <rPh sb="12" eb="14">
      <t>ショリ</t>
    </rPh>
    <rPh sb="14" eb="16">
      <t>タイショウ</t>
    </rPh>
    <rPh sb="17" eb="18">
      <t>スベ</t>
    </rPh>
    <rPh sb="19" eb="21">
      <t>ショリ</t>
    </rPh>
    <phoneticPr fontId="2"/>
  </si>
  <si>
    <t>処理上の時限的な事項（参照するデータの引継タイミング／時限性等）は考慮されているか。</t>
    <rPh sb="0" eb="2">
      <t>ショリ</t>
    </rPh>
    <rPh sb="2" eb="3">
      <t>ジョウ</t>
    </rPh>
    <rPh sb="4" eb="6">
      <t>ジゲン</t>
    </rPh>
    <rPh sb="6" eb="7">
      <t>テキ</t>
    </rPh>
    <rPh sb="8" eb="10">
      <t>ジコウ</t>
    </rPh>
    <rPh sb="33" eb="35">
      <t>コウリョ</t>
    </rPh>
    <phoneticPr fontId="2"/>
  </si>
  <si>
    <t>条件のELSE時の設計に漏れはないか。</t>
    <rPh sb="0" eb="2">
      <t>ジョウケン</t>
    </rPh>
    <rPh sb="7" eb="8">
      <t>ジ</t>
    </rPh>
    <rPh sb="9" eb="11">
      <t>セッケイ</t>
    </rPh>
    <rPh sb="12" eb="13">
      <t>モ</t>
    </rPh>
    <phoneticPr fontId="2"/>
  </si>
  <si>
    <t>エラー／異常時の設計がされているか。</t>
    <rPh sb="4" eb="6">
      <t>イジョウ</t>
    </rPh>
    <rPh sb="6" eb="7">
      <t>トキ</t>
    </rPh>
    <rPh sb="8" eb="10">
      <t>セッケイ</t>
    </rPh>
    <phoneticPr fontId="2"/>
  </si>
  <si>
    <t>条件のパターンは網羅されているか。</t>
    <rPh sb="0" eb="2">
      <t>ジョウケン</t>
    </rPh>
    <rPh sb="8" eb="10">
      <t>モウラ</t>
    </rPh>
    <phoneticPr fontId="2"/>
  </si>
  <si>
    <t>処理結果／出力データがプログラムの目的を達成しているか。</t>
    <rPh sb="0" eb="2">
      <t>ショリ</t>
    </rPh>
    <rPh sb="2" eb="4">
      <t>ケッカ</t>
    </rPh>
    <rPh sb="5" eb="7">
      <t>シュツリョク</t>
    </rPh>
    <rPh sb="17" eb="19">
      <t>モクテキ</t>
    </rPh>
    <rPh sb="20" eb="22">
      <t>タッセイ</t>
    </rPh>
    <phoneticPr fontId="2"/>
  </si>
  <si>
    <t>プログラムの処理結果が後続のプログラム側に正しく連携されているか。</t>
    <rPh sb="6" eb="8">
      <t>ショリ</t>
    </rPh>
    <rPh sb="8" eb="10">
      <t>ケッカ</t>
    </rPh>
    <rPh sb="11" eb="13">
      <t>コウゾク</t>
    </rPh>
    <rPh sb="19" eb="20">
      <t>ガワ</t>
    </rPh>
    <rPh sb="21" eb="22">
      <t>タダ</t>
    </rPh>
    <rPh sb="24" eb="26">
      <t>レンケイ</t>
    </rPh>
    <phoneticPr fontId="2"/>
  </si>
  <si>
    <t>保守性：プログラム修正が容易な構造になっているか。</t>
    <rPh sb="0" eb="2">
      <t>ホシュ</t>
    </rPh>
    <rPh sb="2" eb="3">
      <t>セイ</t>
    </rPh>
    <rPh sb="9" eb="11">
      <t>シュウセイ</t>
    </rPh>
    <rPh sb="12" eb="14">
      <t>ヨウイ</t>
    </rPh>
    <rPh sb="15" eb="17">
      <t>コウゾウ</t>
    </rPh>
    <phoneticPr fontId="2"/>
  </si>
  <si>
    <t>拡張性：プログラムへの機能追加が容易な構造になっているか。</t>
    <rPh sb="0" eb="2">
      <t>カクチョウ</t>
    </rPh>
    <rPh sb="2" eb="3">
      <t>セイ</t>
    </rPh>
    <rPh sb="11" eb="13">
      <t>キノウ</t>
    </rPh>
    <rPh sb="13" eb="15">
      <t>ツイカ</t>
    </rPh>
    <rPh sb="16" eb="18">
      <t>ヨウイ</t>
    </rPh>
    <rPh sb="19" eb="21">
      <t>コウゾウ</t>
    </rPh>
    <phoneticPr fontId="2"/>
  </si>
  <si>
    <t>簡潔性：プログラムは見易いか、構造は妥当か、ステップは大きすぎないか。</t>
    <rPh sb="0" eb="2">
      <t>カンケツ</t>
    </rPh>
    <rPh sb="2" eb="3">
      <t>セイ</t>
    </rPh>
    <rPh sb="10" eb="12">
      <t>ミヤス</t>
    </rPh>
    <rPh sb="15" eb="17">
      <t>コウゾウ</t>
    </rPh>
    <rPh sb="18" eb="20">
      <t>ダトウ</t>
    </rPh>
    <rPh sb="27" eb="28">
      <t>オオ</t>
    </rPh>
    <phoneticPr fontId="2"/>
  </si>
  <si>
    <t>モジュールの処理シーケンスが正しいか。
（プログラム定義書上のシーケンスと設計書内の記載に整合性が取れているか）</t>
    <rPh sb="6" eb="8">
      <t>ショリ</t>
    </rPh>
    <rPh sb="14" eb="15">
      <t>タダ</t>
    </rPh>
    <rPh sb="26" eb="28">
      <t>テイギ</t>
    </rPh>
    <rPh sb="28" eb="29">
      <t>ショ</t>
    </rPh>
    <rPh sb="29" eb="30">
      <t>ジョウ</t>
    </rPh>
    <rPh sb="37" eb="40">
      <t>セッケイショ</t>
    </rPh>
    <rPh sb="40" eb="41">
      <t>ナイ</t>
    </rPh>
    <rPh sb="42" eb="44">
      <t>キサイ</t>
    </rPh>
    <rPh sb="45" eb="48">
      <t>セイゴウセイ</t>
    </rPh>
    <rPh sb="49" eb="50">
      <t>ト</t>
    </rPh>
    <phoneticPr fontId="2"/>
  </si>
  <si>
    <t>変更前の仕様、変更後の目的と仕様が明確になっているか。</t>
    <phoneticPr fontId="2"/>
  </si>
  <si>
    <t>変更内容の観点</t>
    <rPh sb="0" eb="2">
      <t>ヘンコウ</t>
    </rPh>
    <rPh sb="2" eb="4">
      <t>ナイヨウ</t>
    </rPh>
    <rPh sb="5" eb="7">
      <t>カンテン</t>
    </rPh>
    <phoneticPr fontId="2"/>
  </si>
  <si>
    <t>プログラムの観点</t>
    <rPh sb="6" eb="8">
      <t>カンテン</t>
    </rPh>
    <phoneticPr fontId="2"/>
  </si>
  <si>
    <t xml:space="preserve">ジョブネットフローや処理機能フロー等を用いて、各モジュールの配置・処理の流れが明確になっているか。
</t>
    <rPh sb="10" eb="12">
      <t>ショリ</t>
    </rPh>
    <rPh sb="12" eb="14">
      <t>キノウ</t>
    </rPh>
    <rPh sb="17" eb="18">
      <t>ナド</t>
    </rPh>
    <rPh sb="19" eb="20">
      <t>モチ</t>
    </rPh>
    <rPh sb="23" eb="24">
      <t>カク</t>
    </rPh>
    <rPh sb="30" eb="32">
      <t>ハイチ</t>
    </rPh>
    <rPh sb="33" eb="35">
      <t>ショリ</t>
    </rPh>
    <rPh sb="36" eb="37">
      <t>ナガ</t>
    </rPh>
    <rPh sb="39" eb="41">
      <t>メイカク</t>
    </rPh>
    <phoneticPr fontId="2"/>
  </si>
  <si>
    <t>外部設計書（全体）</t>
    <rPh sb="0" eb="2">
      <t>ガイブ</t>
    </rPh>
    <rPh sb="2" eb="5">
      <t>セッケイショ</t>
    </rPh>
    <rPh sb="6" eb="8">
      <t>ゼンタイ</t>
    </rPh>
    <phoneticPr fontId="2"/>
  </si>
  <si>
    <t>外部設計書（機能設計）</t>
    <rPh sb="0" eb="2">
      <t>ガイブ</t>
    </rPh>
    <rPh sb="2" eb="5">
      <t>セッケイショ</t>
    </rPh>
    <rPh sb="6" eb="8">
      <t>キノウ</t>
    </rPh>
    <rPh sb="8" eb="10">
      <t>セッケイ</t>
    </rPh>
    <phoneticPr fontId="2"/>
  </si>
  <si>
    <t>成果物作成時／レビュー時の観点（チェック項目の内容は、プロジェクトの特性に合わせて適宜修正する）。</t>
    <rPh sb="0" eb="3">
      <t>セイカブツ</t>
    </rPh>
    <rPh sb="3" eb="5">
      <t>サクセイ</t>
    </rPh>
    <rPh sb="5" eb="6">
      <t>ジ</t>
    </rPh>
    <rPh sb="11" eb="12">
      <t>ジ</t>
    </rPh>
    <rPh sb="13" eb="15">
      <t>カンテン</t>
    </rPh>
    <rPh sb="20" eb="22">
      <t>コウモク</t>
    </rPh>
    <rPh sb="23" eb="25">
      <t>ナイヨウ</t>
    </rPh>
    <rPh sb="34" eb="36">
      <t>トクセイ</t>
    </rPh>
    <rPh sb="37" eb="38">
      <t>ア</t>
    </rPh>
    <rPh sb="41" eb="43">
      <t>テキギ</t>
    </rPh>
    <rPh sb="43" eb="45">
      <t>シュウセイ</t>
    </rPh>
    <phoneticPr fontId="2"/>
  </si>
  <si>
    <t>※プロジェクトの特性に合わせて、チェック項目の内容は適宜修正すること。</t>
    <rPh sb="8" eb="10">
      <t>トクセイ</t>
    </rPh>
    <rPh sb="11" eb="12">
      <t>ア</t>
    </rPh>
    <rPh sb="20" eb="22">
      <t>コウモク</t>
    </rPh>
    <rPh sb="23" eb="25">
      <t>ナイヨウ</t>
    </rPh>
    <rPh sb="26" eb="28">
      <t>テキギ</t>
    </rPh>
    <rPh sb="28" eb="30">
      <t>シュウセイ</t>
    </rPh>
    <phoneticPr fontId="2"/>
  </si>
  <si>
    <t>影響調査・範囲の観点</t>
    <rPh sb="0" eb="2">
      <t>エイキョウ</t>
    </rPh>
    <rPh sb="2" eb="4">
      <t>チョウサ</t>
    </rPh>
    <rPh sb="5" eb="7">
      <t>ハンイ</t>
    </rPh>
    <rPh sb="8" eb="10">
      <t>カンテン</t>
    </rPh>
    <phoneticPr fontId="2"/>
  </si>
  <si>
    <t>事前処理を行う場合の確認の観点</t>
    <rPh sb="0" eb="2">
      <t>ジゼン</t>
    </rPh>
    <rPh sb="2" eb="4">
      <t>ショリ</t>
    </rPh>
    <rPh sb="5" eb="6">
      <t>オコナ</t>
    </rPh>
    <rPh sb="7" eb="9">
      <t>バアイ</t>
    </rPh>
    <phoneticPr fontId="2"/>
  </si>
  <si>
    <t>入力、処理、出力内容の観点</t>
    <rPh sb="0" eb="2">
      <t>ニュウリョク</t>
    </rPh>
    <rPh sb="3" eb="5">
      <t>ショリ</t>
    </rPh>
    <rPh sb="6" eb="8">
      <t>シュツリョク</t>
    </rPh>
    <rPh sb="8" eb="10">
      <t>ナイヨウ</t>
    </rPh>
    <rPh sb="11" eb="13">
      <t>カンテン</t>
    </rPh>
    <phoneticPr fontId="2"/>
  </si>
  <si>
    <t>モジュール設計書</t>
    <rPh sb="5" eb="7">
      <t>セッケイ</t>
    </rPh>
    <rPh sb="7" eb="8">
      <t>ショ</t>
    </rPh>
    <phoneticPr fontId="2"/>
  </si>
  <si>
    <t>事前処理にて問題発生時の対処方法が明確になっているか。
（問題解決に対するスケジュール・要員等について取り決めが出来ているか。）</t>
    <rPh sb="0" eb="2">
      <t>ジゼン</t>
    </rPh>
    <rPh sb="2" eb="4">
      <t>ショリ</t>
    </rPh>
    <rPh sb="6" eb="8">
      <t>モンダイ</t>
    </rPh>
    <rPh sb="8" eb="10">
      <t>ハッセイ</t>
    </rPh>
    <rPh sb="10" eb="11">
      <t>ジ</t>
    </rPh>
    <rPh sb="12" eb="14">
      <t>タイショ</t>
    </rPh>
    <rPh sb="14" eb="16">
      <t>ホウホウ</t>
    </rPh>
    <rPh sb="17" eb="19">
      <t>メイカク</t>
    </rPh>
    <phoneticPr fontId="2"/>
  </si>
  <si>
    <t>お客様の要求事項が漏れなく取り込まれているか。</t>
    <phoneticPr fontId="2"/>
  </si>
  <si>
    <t>顧客検証欄</t>
    <rPh sb="0" eb="2">
      <t>コキャク</t>
    </rPh>
    <rPh sb="2" eb="4">
      <t>ケンショウ</t>
    </rPh>
    <rPh sb="4" eb="5">
      <t>ラン</t>
    </rPh>
    <phoneticPr fontId="2"/>
  </si>
  <si>
    <t xml:space="preserve">顧客が指摘の対応結果を確認する（検証）。
本項目は顧客のみが使用するため、非表示（印刷範囲外）に設定されている。
</t>
    <rPh sb="0" eb="2">
      <t>コキャク</t>
    </rPh>
    <rPh sb="3" eb="5">
      <t>シテキ</t>
    </rPh>
    <rPh sb="6" eb="8">
      <t>タイオウ</t>
    </rPh>
    <rPh sb="8" eb="10">
      <t>ケッカ</t>
    </rPh>
    <rPh sb="11" eb="13">
      <t>カクニン</t>
    </rPh>
    <rPh sb="16" eb="18">
      <t>ケンショウ</t>
    </rPh>
    <rPh sb="21" eb="22">
      <t>ホン</t>
    </rPh>
    <rPh sb="22" eb="24">
      <t>コウモク</t>
    </rPh>
    <rPh sb="25" eb="27">
      <t>コキャク</t>
    </rPh>
    <rPh sb="30" eb="32">
      <t>シヨウ</t>
    </rPh>
    <rPh sb="37" eb="40">
      <t>ヒヒョウジ</t>
    </rPh>
    <rPh sb="41" eb="43">
      <t>インサツ</t>
    </rPh>
    <rPh sb="43" eb="45">
      <t>ハンイ</t>
    </rPh>
    <rPh sb="45" eb="46">
      <t>ガイ</t>
    </rPh>
    <rPh sb="48" eb="50">
      <t>セッテイ</t>
    </rPh>
    <phoneticPr fontId="2"/>
  </si>
  <si>
    <t>補足・コメント</t>
    <phoneticPr fontId="2"/>
  </si>
  <si>
    <t>役割</t>
    <rPh sb="0" eb="2">
      <t>ヤクワリ</t>
    </rPh>
    <phoneticPr fontId="2"/>
  </si>
  <si>
    <t>レビュー方法を、リストから選択する。
　・個人 … 各自机上で行うレビュー
　・会議 … ミーティング形式のレビュー
　・組織 … プロジェクト外（またはＧｒ外）のDCS社員が参加するレビュー
　・顧客 … 顧客により成果物の妥当性を検証するレビュー</t>
    <rPh sb="4" eb="6">
      <t>ホウホウ</t>
    </rPh>
    <phoneticPr fontId="2"/>
  </si>
  <si>
    <t>リストから選択する。
　・提案
　・要件定義
　・外部設計
　・内部設計
　・プログラム開発
　・結合テスト（ITa）
　・結合テスト（ITb）
　・システムテスト</t>
    <phoneticPr fontId="2"/>
  </si>
  <si>
    <t>レビュー対象となるプロジェクトのアーキテクチャを、リストから選択する。
　・ホスト
　・C/S
　・Web
　・PROSRV
　・基盤構築・更改
　・その他</t>
    <rPh sb="4" eb="6">
      <t>タイショウ</t>
    </rPh>
    <rPh sb="30" eb="32">
      <t>センタク</t>
    </rPh>
    <phoneticPr fontId="2"/>
  </si>
  <si>
    <t>レビュー指摘に対する、対応の詳細を記入する。</t>
    <rPh sb="4" eb="6">
      <t>シテキ</t>
    </rPh>
    <rPh sb="7" eb="8">
      <t>タイ</t>
    </rPh>
    <rPh sb="11" eb="13">
      <t>タイオウ</t>
    </rPh>
    <rPh sb="14" eb="16">
      <t>ショウサイ</t>
    </rPh>
    <rPh sb="17" eb="19">
      <t>キニュウ</t>
    </rPh>
    <phoneticPr fontId="2"/>
  </si>
  <si>
    <t>レビューア</t>
    <phoneticPr fontId="2"/>
  </si>
  <si>
    <t>記録係</t>
    <rPh sb="0" eb="3">
      <t>キロクガカリ</t>
    </rPh>
    <phoneticPr fontId="2"/>
  </si>
  <si>
    <t>作業成果物作成者</t>
    <rPh sb="0" eb="2">
      <t>サギョウ</t>
    </rPh>
    <rPh sb="2" eb="5">
      <t>セイカブツ</t>
    </rPh>
    <rPh sb="5" eb="7">
      <t>サクセイ</t>
    </rPh>
    <rPh sb="7" eb="8">
      <t>シャ</t>
    </rPh>
    <phoneticPr fontId="2"/>
  </si>
  <si>
    <t>欠陥管理者</t>
    <rPh sb="0" eb="2">
      <t>ケッカン</t>
    </rPh>
    <rPh sb="2" eb="5">
      <t>カンリシャ</t>
    </rPh>
    <phoneticPr fontId="2"/>
  </si>
  <si>
    <t>顧客
検証日</t>
    <rPh sb="0" eb="2">
      <t>コキャク</t>
    </rPh>
    <rPh sb="3" eb="5">
      <t>ケンショウ</t>
    </rPh>
    <rPh sb="5" eb="6">
      <t>ビ</t>
    </rPh>
    <phoneticPr fontId="2"/>
  </si>
  <si>
    <t>顧客
検証者</t>
    <rPh sb="0" eb="2">
      <t>コキャク</t>
    </rPh>
    <rPh sb="3" eb="5">
      <t>ケンショウ</t>
    </rPh>
    <rPh sb="5" eb="6">
      <t>シャ</t>
    </rPh>
    <phoneticPr fontId="2"/>
  </si>
  <si>
    <t>レビューア（有識者）</t>
    <rPh sb="6" eb="9">
      <t>ユウシキシャ</t>
    </rPh>
    <phoneticPr fontId="2"/>
  </si>
  <si>
    <t>PM</t>
    <phoneticPr fontId="2"/>
  </si>
  <si>
    <t>レビューリーダー</t>
    <phoneticPr fontId="2"/>
  </si>
  <si>
    <t>レビューア（上位管理層）</t>
    <rPh sb="6" eb="8">
      <t>ジョウイ</t>
    </rPh>
    <rPh sb="8" eb="11">
      <t>カンリソウ</t>
    </rPh>
    <phoneticPr fontId="2"/>
  </si>
  <si>
    <t>役割（リスト定義）</t>
    <rPh sb="0" eb="2">
      <t>ヤクワリ</t>
    </rPh>
    <rPh sb="6" eb="8">
      <t>テイギ</t>
    </rPh>
    <phoneticPr fontId="2"/>
  </si>
  <si>
    <t>レビューに参加した担当者の役割を、リストから選択する。
役割を変更する場合は、以下表の項目を修正すること。</t>
    <rPh sb="5" eb="7">
      <t>サンカ</t>
    </rPh>
    <rPh sb="9" eb="12">
      <t>タントウシャ</t>
    </rPh>
    <rPh sb="13" eb="15">
      <t>ヤクワリ</t>
    </rPh>
    <rPh sb="22" eb="24">
      <t>センタク</t>
    </rPh>
    <rPh sb="28" eb="30">
      <t>ヤクワリ</t>
    </rPh>
    <rPh sb="31" eb="33">
      <t>ヘンコウ</t>
    </rPh>
    <rPh sb="35" eb="37">
      <t>バアイ</t>
    </rPh>
    <rPh sb="39" eb="41">
      <t>イカ</t>
    </rPh>
    <rPh sb="41" eb="42">
      <t>ヒョウ</t>
    </rPh>
    <rPh sb="43" eb="45">
      <t>コウモク</t>
    </rPh>
    <rPh sb="46" eb="48">
      <t>シュウセイ</t>
    </rPh>
    <phoneticPr fontId="2"/>
  </si>
  <si>
    <t>レビューア（関連業務有識者）</t>
    <rPh sb="6" eb="8">
      <t>カンレン</t>
    </rPh>
    <rPh sb="8" eb="10">
      <t>ギョウム</t>
    </rPh>
    <rPh sb="10" eb="13">
      <t>ユウシキシャ</t>
    </rPh>
    <phoneticPr fontId="2"/>
  </si>
  <si>
    <t xml:space="preserve">「レビュー状況分析表」による分析時に、レビューデータをカテゴリ分けするためのキー項目として、任意のキーワードを設定する。
</t>
    <rPh sb="14" eb="16">
      <t>ブンセキ</t>
    </rPh>
    <rPh sb="16" eb="17">
      <t>ジ</t>
    </rPh>
    <rPh sb="31" eb="32">
      <t>ワ</t>
    </rPh>
    <rPh sb="40" eb="42">
      <t>コウモク</t>
    </rPh>
    <rPh sb="46" eb="48">
      <t>ニンイ</t>
    </rPh>
    <rPh sb="55" eb="57">
      <t>セッテイ</t>
    </rPh>
    <phoneticPr fontId="2"/>
  </si>
  <si>
    <t xml:space="preserve">担当者毎にレビューを行った時間を記入する。
【記入単位】
　・分単位で記入する。
　・レビュー前の準備時間、検証時間、レビュー中の休憩時間は含めない。
例）ミーティング時間=1時間、参加者=3人のミーティング形式（会議、組織、顧客）で実施した場合、各担当者毎に「60分」を記録し、合計は3.0時間（時間換算）となる。
</t>
    <rPh sb="0" eb="3">
      <t>タントウシャ</t>
    </rPh>
    <rPh sb="3" eb="4">
      <t>ゴト</t>
    </rPh>
    <rPh sb="10" eb="11">
      <t>オコナ</t>
    </rPh>
    <rPh sb="13" eb="15">
      <t>ジカン</t>
    </rPh>
    <rPh sb="16" eb="18">
      <t>キニュウ</t>
    </rPh>
    <rPh sb="77" eb="78">
      <t>レイ</t>
    </rPh>
    <rPh sb="85" eb="87">
      <t>ジカン</t>
    </rPh>
    <rPh sb="89" eb="91">
      <t>ジカン</t>
    </rPh>
    <rPh sb="92" eb="95">
      <t>サンカシャ</t>
    </rPh>
    <rPh sb="97" eb="98">
      <t>ニン</t>
    </rPh>
    <rPh sb="118" eb="120">
      <t>ジッシ</t>
    </rPh>
    <rPh sb="125" eb="126">
      <t>カク</t>
    </rPh>
    <rPh sb="126" eb="129">
      <t>タントウシャ</t>
    </rPh>
    <rPh sb="129" eb="130">
      <t>ゴト</t>
    </rPh>
    <rPh sb="134" eb="135">
      <t>フン</t>
    </rPh>
    <rPh sb="137" eb="139">
      <t>キロク</t>
    </rPh>
    <rPh sb="141" eb="143">
      <t>ゴウケイ</t>
    </rPh>
    <rPh sb="147" eb="149">
      <t>ジカン</t>
    </rPh>
    <rPh sb="150" eb="152">
      <t>ジカン</t>
    </rPh>
    <rPh sb="152" eb="154">
      <t>カンサン</t>
    </rPh>
    <phoneticPr fontId="2"/>
  </si>
  <si>
    <t>備考（未採用理由等）</t>
    <rPh sb="0" eb="2">
      <t>ビコウ</t>
    </rPh>
    <rPh sb="3" eb="6">
      <t>ミサイヨウ</t>
    </rPh>
    <rPh sb="6" eb="9">
      <t>リユウナド</t>
    </rPh>
    <phoneticPr fontId="2"/>
  </si>
  <si>
    <t>なお、本シートは参考利用の位置づけのものである。</t>
    <phoneticPr fontId="2"/>
  </si>
  <si>
    <r>
      <t>※</t>
    </r>
    <r>
      <rPr>
        <sz val="9"/>
        <color indexed="10"/>
        <rFont val="ＭＳ Ｐゴシック"/>
        <family val="3"/>
        <charset val="128"/>
      </rPr>
      <t>指摘0件</t>
    </r>
    <r>
      <rPr>
        <sz val="9"/>
        <rFont val="ＭＳ Ｐゴシック"/>
        <family val="3"/>
        <charset val="128"/>
      </rPr>
      <t>の場合、左記欄に直接</t>
    </r>
    <r>
      <rPr>
        <sz val="9"/>
        <color indexed="10"/>
        <rFont val="ＭＳ Ｐゴシック"/>
        <family val="3"/>
        <charset val="128"/>
      </rPr>
      <t>日付を記入</t>
    </r>
    <r>
      <rPr>
        <sz val="9"/>
        <rFont val="ＭＳ Ｐゴシック"/>
        <family val="3"/>
        <charset val="128"/>
      </rPr>
      <t>してください。</t>
    </r>
    <rPh sb="1" eb="3">
      <t>シテキ</t>
    </rPh>
    <rPh sb="4" eb="5">
      <t>ケン</t>
    </rPh>
    <rPh sb="6" eb="8">
      <t>バアイ</t>
    </rPh>
    <rPh sb="9" eb="11">
      <t>サキ</t>
    </rPh>
    <rPh sb="11" eb="12">
      <t>ラン</t>
    </rPh>
    <rPh sb="13" eb="15">
      <t>チョクセツ</t>
    </rPh>
    <rPh sb="15" eb="17">
      <t>ヒヅケ</t>
    </rPh>
    <rPh sb="18" eb="20">
      <t>キニュウ</t>
    </rPh>
    <phoneticPr fontId="2"/>
  </si>
  <si>
    <t>分類（リスト定義）</t>
    <rPh sb="0" eb="2">
      <t>ブンルイ</t>
    </rPh>
    <rPh sb="6" eb="8">
      <t>テイギ</t>
    </rPh>
    <phoneticPr fontId="2"/>
  </si>
  <si>
    <t>説明</t>
    <rPh sb="0" eb="2">
      <t>セツメイ</t>
    </rPh>
    <phoneticPr fontId="2"/>
  </si>
  <si>
    <t>分類名</t>
    <rPh sb="0" eb="2">
      <t>ブンルイ</t>
    </rPh>
    <rPh sb="2" eb="3">
      <t>メイ</t>
    </rPh>
    <phoneticPr fontId="2"/>
  </si>
  <si>
    <t xml:space="preserve">レビュー指摘リストのファイル名は、ここで指定した対象作業成果物の一覧から選択することになる。
フォルダー内の複数のファイル名を取得する場合は、DOSコマンドを利用すると便利である。
例：コマンドプロンプト画面より「dir /b  &gt;a.txt」などを実行する。
</t>
    <rPh sb="4" eb="6">
      <t>シテキ</t>
    </rPh>
    <rPh sb="14" eb="15">
      <t>メイ</t>
    </rPh>
    <rPh sb="20" eb="22">
      <t>シテイ</t>
    </rPh>
    <rPh sb="24" eb="26">
      <t>タイショウ</t>
    </rPh>
    <rPh sb="26" eb="28">
      <t>サギョウ</t>
    </rPh>
    <rPh sb="28" eb="31">
      <t>セイカブツ</t>
    </rPh>
    <rPh sb="32" eb="34">
      <t>イチラン</t>
    </rPh>
    <rPh sb="36" eb="38">
      <t>センタク</t>
    </rPh>
    <phoneticPr fontId="2"/>
  </si>
  <si>
    <r>
      <t>レビュー時間（分）</t>
    </r>
    <r>
      <rPr>
        <sz val="9"/>
        <color rgb="FFFF0000"/>
        <rFont val="ＭＳ Ｐゴシック"/>
        <family val="3"/>
        <charset val="128"/>
      </rPr>
      <t>*</t>
    </r>
    <rPh sb="4" eb="6">
      <t>ジカン</t>
    </rPh>
    <phoneticPr fontId="2"/>
  </si>
  <si>
    <r>
      <t>作成工数
（時間）</t>
    </r>
    <r>
      <rPr>
        <sz val="9"/>
        <color rgb="FFFF0000"/>
        <rFont val="ＭＳ Ｐゴシック"/>
        <family val="3"/>
        <charset val="128"/>
      </rPr>
      <t>*</t>
    </r>
    <rPh sb="0" eb="2">
      <t>サクセイ</t>
    </rPh>
    <rPh sb="2" eb="4">
      <t>コウスウ</t>
    </rPh>
    <phoneticPr fontId="2"/>
  </si>
  <si>
    <r>
      <t>指摘箇所
（ファイル名）</t>
    </r>
    <r>
      <rPr>
        <sz val="9"/>
        <color rgb="FFFF0000"/>
        <rFont val="ＭＳ Ｐゴシック"/>
        <family val="3"/>
        <charset val="128"/>
      </rPr>
      <t>*</t>
    </r>
    <rPh sb="0" eb="2">
      <t>シテキ</t>
    </rPh>
    <rPh sb="2" eb="4">
      <t>カショ</t>
    </rPh>
    <phoneticPr fontId="2"/>
  </si>
  <si>
    <t>◆指摘対応進捗</t>
    <phoneticPr fontId="2"/>
  </si>
  <si>
    <t>"対応無し"を選択した場合、作成者は、「対応内容」欄に、指摘に対応しないと判断した理由と経緯を明記する。
"保留"を選択した場合、作成者は、「対応内容」欄に、対応を保留すると判断した理由と経緯、今後の対応方針を明記する。</t>
    <rPh sb="1" eb="3">
      <t>タイオウ</t>
    </rPh>
    <rPh sb="3" eb="4">
      <t>ナ</t>
    </rPh>
    <rPh sb="7" eb="9">
      <t>センタク</t>
    </rPh>
    <rPh sb="11" eb="13">
      <t>バアイ</t>
    </rPh>
    <rPh sb="14" eb="17">
      <t>サクセイシャ</t>
    </rPh>
    <rPh sb="20" eb="22">
      <t>タイオウ</t>
    </rPh>
    <rPh sb="22" eb="24">
      <t>ナイヨウ</t>
    </rPh>
    <rPh sb="25" eb="26">
      <t>ラン</t>
    </rPh>
    <rPh sb="28" eb="30">
      <t>シテキ</t>
    </rPh>
    <rPh sb="31" eb="33">
      <t>タイオウ</t>
    </rPh>
    <rPh sb="37" eb="39">
      <t>ハンダン</t>
    </rPh>
    <rPh sb="41" eb="43">
      <t>リユウ</t>
    </rPh>
    <rPh sb="44" eb="46">
      <t>ケイイ</t>
    </rPh>
    <rPh sb="47" eb="49">
      <t>メイキ</t>
    </rPh>
    <rPh sb="54" eb="56">
      <t>ホリュウ</t>
    </rPh>
    <rPh sb="58" eb="60">
      <t>センタク</t>
    </rPh>
    <rPh sb="62" eb="64">
      <t>バアイ</t>
    </rPh>
    <rPh sb="65" eb="68">
      <t>サクセイシャ</t>
    </rPh>
    <rPh sb="71" eb="73">
      <t>タイオウ</t>
    </rPh>
    <rPh sb="73" eb="75">
      <t>ナイヨウ</t>
    </rPh>
    <rPh sb="76" eb="77">
      <t>ラン</t>
    </rPh>
    <rPh sb="79" eb="81">
      <t>タイオウ</t>
    </rPh>
    <rPh sb="82" eb="84">
      <t>ホリュウ</t>
    </rPh>
    <rPh sb="87" eb="89">
      <t>ハンダン</t>
    </rPh>
    <rPh sb="91" eb="93">
      <t>リユウ</t>
    </rPh>
    <rPh sb="94" eb="96">
      <t>ケイイ</t>
    </rPh>
    <rPh sb="97" eb="99">
      <t>コンゴ</t>
    </rPh>
    <rPh sb="100" eb="102">
      <t>タイオウ</t>
    </rPh>
    <rPh sb="102" eb="104">
      <t>ホウシン</t>
    </rPh>
    <rPh sb="105" eb="107">
      <t>メイキ</t>
    </rPh>
    <phoneticPr fontId="2"/>
  </si>
  <si>
    <t xml:space="preserve">・顧客検証を依頼前に、プロジェクト内部で検証を完了しておくこと。
・「顧客検証日」欄、「顧客検証者」欄がともに記入されると、「顧客検証」欄がクローズとなる（灰色塗りつぶしが適用される）。
</t>
    <rPh sb="35" eb="37">
      <t>コキャク</t>
    </rPh>
    <rPh sb="41" eb="42">
      <t>ラン</t>
    </rPh>
    <rPh sb="44" eb="46">
      <t>コキャク</t>
    </rPh>
    <rPh sb="50" eb="51">
      <t>ラン</t>
    </rPh>
    <rPh sb="63" eb="65">
      <t>コキャク</t>
    </rPh>
    <rPh sb="65" eb="67">
      <t>ケンショウ</t>
    </rPh>
    <rPh sb="68" eb="69">
      <t>ラン</t>
    </rPh>
    <phoneticPr fontId="2"/>
  </si>
  <si>
    <t>指摘分類</t>
    <rPh sb="0" eb="2">
      <t>シテキ</t>
    </rPh>
    <rPh sb="2" eb="4">
      <t>ブンルイ</t>
    </rPh>
    <phoneticPr fontId="2"/>
  </si>
  <si>
    <t>不備</t>
    <rPh sb="0" eb="2">
      <t>フビ</t>
    </rPh>
    <phoneticPr fontId="2"/>
  </si>
  <si>
    <t>改善</t>
    <rPh sb="0" eb="2">
      <t>カイゼン</t>
    </rPh>
    <phoneticPr fontId="2"/>
  </si>
  <si>
    <t>質問・確認</t>
    <rPh sb="0" eb="2">
      <t>シツモン</t>
    </rPh>
    <rPh sb="3" eb="5">
      <t>カクニン</t>
    </rPh>
    <phoneticPr fontId="2"/>
  </si>
  <si>
    <t>誤りに対する指摘事項。</t>
    <phoneticPr fontId="2"/>
  </si>
  <si>
    <t>不明点についての質問や確認事項。</t>
    <phoneticPr fontId="2"/>
  </si>
  <si>
    <t>不備にはあたらないが、より良くするために対応が望まれる
指摘事項。</t>
    <phoneticPr fontId="2"/>
  </si>
  <si>
    <t>指摘内容の分類をリストから選択する。分類名と選択肢は、「指摘分類（不備、改善、質問・確認）を初期値とする。プロジェクトに合わせて変更する場合は、以下の表を修正すること。
【例】
重要度（高・中・低）、緊急度（高・中・低）、優先度（高・中・低）</t>
    <rPh sb="28" eb="30">
      <t>シテキ</t>
    </rPh>
    <rPh sb="30" eb="32">
      <t>ブンルイ</t>
    </rPh>
    <rPh sb="33" eb="35">
      <t>フビ</t>
    </rPh>
    <rPh sb="36" eb="38">
      <t>カイゼン</t>
    </rPh>
    <rPh sb="39" eb="41">
      <t>シツモン</t>
    </rPh>
    <rPh sb="42" eb="44">
      <t>カクニン</t>
    </rPh>
    <rPh sb="89" eb="92">
      <t>ジュウヨウド</t>
    </rPh>
    <rPh sb="93" eb="94">
      <t>コウ</t>
    </rPh>
    <rPh sb="95" eb="96">
      <t>チュウ</t>
    </rPh>
    <rPh sb="97" eb="98">
      <t>テイ</t>
    </rPh>
    <phoneticPr fontId="2"/>
  </si>
  <si>
    <t>章</t>
    <rPh sb="0" eb="1">
      <t>ショウ</t>
    </rPh>
    <phoneticPr fontId="2"/>
  </si>
  <si>
    <t>節</t>
    <rPh sb="0" eb="1">
      <t>セツ</t>
    </rPh>
    <phoneticPr fontId="2"/>
  </si>
  <si>
    <t>項</t>
    <rPh sb="0" eb="1">
      <t>コウ</t>
    </rPh>
    <phoneticPr fontId="2"/>
  </si>
  <si>
    <t>行番号等</t>
    <rPh sb="0" eb="3">
      <t>ギョウバンゴウ</t>
    </rPh>
    <rPh sb="3" eb="4">
      <t>トウ</t>
    </rPh>
    <phoneticPr fontId="2"/>
  </si>
  <si>
    <t>状態</t>
    <rPh sb="0" eb="2">
      <t>ジョウタイ</t>
    </rPh>
    <phoneticPr fontId="2"/>
  </si>
  <si>
    <t>レビューの管理状態を、レビュー指摘リストの記録内容から自動判定する。
・CLOSE … 指摘無し、または、全ての指摘がクローズされており、レビュープロセスが終了している。
・OPEN … クローズされていない指摘があり、レビュープロセスが終了していない。</t>
    <rPh sb="5" eb="7">
      <t>カンリ</t>
    </rPh>
    <rPh sb="7" eb="9">
      <t>ジョウタイ</t>
    </rPh>
    <rPh sb="15" eb="17">
      <t>シテキ</t>
    </rPh>
    <rPh sb="21" eb="23">
      <t>キロク</t>
    </rPh>
    <rPh sb="23" eb="25">
      <t>ナイヨウ</t>
    </rPh>
    <rPh sb="27" eb="29">
      <t>ジドウ</t>
    </rPh>
    <rPh sb="29" eb="31">
      <t>ハンテイ</t>
    </rPh>
    <phoneticPr fontId="2"/>
  </si>
  <si>
    <t>指摘のクローズ条件は、「検証」項目を参照。</t>
    <rPh sb="12" eb="14">
      <t>ケンショウ</t>
    </rPh>
    <rPh sb="15" eb="17">
      <t>コウモク</t>
    </rPh>
    <phoneticPr fontId="2"/>
  </si>
  <si>
    <t>CLOSE：指摘無し、または、全ての指摘がクローズされており、レビュープロセスが終了している。
OPEN：クローズされていない指摘があり、レビュープロセスが終了していない。
指摘のクローズ条件は使用方法シート参照。</t>
    <rPh sb="6" eb="8">
      <t>シテキ</t>
    </rPh>
    <rPh sb="8" eb="9">
      <t>ナ</t>
    </rPh>
    <rPh sb="15" eb="16">
      <t>スベ</t>
    </rPh>
    <rPh sb="40" eb="42">
      <t>シュウリョウ</t>
    </rPh>
    <rPh sb="63" eb="65">
      <t>シテキ</t>
    </rPh>
    <rPh sb="78" eb="80">
      <t>シュウリョウ</t>
    </rPh>
    <rPh sb="87" eb="89">
      <t>シテキ</t>
    </rPh>
    <rPh sb="94" eb="96">
      <t>ジョウケン</t>
    </rPh>
    <rPh sb="97" eb="99">
      <t>シヨウ</t>
    </rPh>
    <rPh sb="99" eb="101">
      <t>ホウホウ</t>
    </rPh>
    <rPh sb="104" eb="106">
      <t>サンショウ</t>
    </rPh>
    <phoneticPr fontId="2"/>
  </si>
  <si>
    <t>関連ID</t>
    <rPh sb="0" eb="2">
      <t>カンレン</t>
    </rPh>
    <phoneticPr fontId="2"/>
  </si>
  <si>
    <t>課題や変更となる指摘が発見された場合、「課題管理プロセス」「変更管理プロセス」に欠陥情報を提供する。登録した際に割り当てられたIDを、プロセス間の関連を明示するために記入する。</t>
    <rPh sb="0" eb="2">
      <t>カダイ</t>
    </rPh>
    <rPh sb="3" eb="5">
      <t>ヘンコウ</t>
    </rPh>
    <rPh sb="8" eb="10">
      <t>シテキ</t>
    </rPh>
    <rPh sb="11" eb="13">
      <t>ハッケン</t>
    </rPh>
    <rPh sb="16" eb="18">
      <t>バアイ</t>
    </rPh>
    <rPh sb="20" eb="22">
      <t>カダイ</t>
    </rPh>
    <rPh sb="22" eb="24">
      <t>カンリ</t>
    </rPh>
    <rPh sb="30" eb="32">
      <t>ヘンコウ</t>
    </rPh>
    <rPh sb="32" eb="34">
      <t>カンリ</t>
    </rPh>
    <rPh sb="40" eb="42">
      <t>ケッカン</t>
    </rPh>
    <rPh sb="42" eb="44">
      <t>ジョウホウ</t>
    </rPh>
    <rPh sb="45" eb="47">
      <t>テイキョウ</t>
    </rPh>
    <rPh sb="50" eb="52">
      <t>トウロク</t>
    </rPh>
    <rPh sb="54" eb="55">
      <t>サイ</t>
    </rPh>
    <rPh sb="56" eb="57">
      <t>ワ</t>
    </rPh>
    <rPh sb="58" eb="59">
      <t>ア</t>
    </rPh>
    <rPh sb="83" eb="85">
      <t>キニュウ</t>
    </rPh>
    <phoneticPr fontId="2"/>
  </si>
  <si>
    <t>指摘に対する対応状況を、リストから選択する。
　・対応済み … 修正・対応が完了した状態。
　・対応無し … 理由により修正・対応を必要としなくなった状態。
　・保留 … 対応保留、調整中、または他プロセス管理となった状態。</t>
    <rPh sb="0" eb="2">
      <t>シテキ</t>
    </rPh>
    <rPh sb="3" eb="4">
      <t>タイ</t>
    </rPh>
    <rPh sb="6" eb="8">
      <t>タイオウ</t>
    </rPh>
    <rPh sb="8" eb="10">
      <t>ジョウキョウ</t>
    </rPh>
    <rPh sb="25" eb="27">
      <t>タイオウ</t>
    </rPh>
    <rPh sb="42" eb="44">
      <t>ジョウタイ</t>
    </rPh>
    <rPh sb="48" eb="50">
      <t>タイオウ</t>
    </rPh>
    <rPh sb="75" eb="77">
      <t>ジョウタイ</t>
    </rPh>
    <rPh sb="81" eb="83">
      <t>ホリュウ</t>
    </rPh>
    <rPh sb="98" eb="99">
      <t>タ</t>
    </rPh>
    <rPh sb="103" eb="105">
      <t>カンリ</t>
    </rPh>
    <rPh sb="109" eb="111">
      <t>ジョウタイ</t>
    </rPh>
    <phoneticPr fontId="2"/>
  </si>
  <si>
    <r>
      <t>横展開調査欄の使用有無</t>
    </r>
    <r>
      <rPr>
        <sz val="9"/>
        <color rgb="FFFF0000"/>
        <rFont val="ＭＳ Ｐゴシック"/>
        <family val="3"/>
        <charset val="128"/>
      </rPr>
      <t>*</t>
    </r>
    <rPh sb="0" eb="3">
      <t>ヨコテンカイ</t>
    </rPh>
    <rPh sb="3" eb="5">
      <t>チョウサ</t>
    </rPh>
    <rPh sb="5" eb="6">
      <t>ラン</t>
    </rPh>
    <rPh sb="7" eb="9">
      <t>シヨウ</t>
    </rPh>
    <rPh sb="9" eb="11">
      <t>ウム</t>
    </rPh>
    <phoneticPr fontId="2"/>
  </si>
  <si>
    <t>調査
要否</t>
    <phoneticPr fontId="2"/>
  </si>
  <si>
    <t>調査「否」　　</t>
    <rPh sb="0" eb="2">
      <t>チョウサ</t>
    </rPh>
    <rPh sb="3" eb="4">
      <t>イナ</t>
    </rPh>
    <phoneticPr fontId="2"/>
  </si>
  <si>
    <t>調査「要」</t>
    <rPh sb="0" eb="2">
      <t>チョウサ</t>
    </rPh>
    <rPh sb="3" eb="4">
      <t>ヨウ</t>
    </rPh>
    <phoneticPr fontId="2"/>
  </si>
  <si>
    <t>検証（横展開）</t>
    <rPh sb="0" eb="2">
      <t>ケンショウ</t>
    </rPh>
    <phoneticPr fontId="2"/>
  </si>
  <si>
    <t>理由</t>
    <rPh sb="0" eb="2">
      <t>リユウ</t>
    </rPh>
    <phoneticPr fontId="2"/>
  </si>
  <si>
    <t>調査の観点</t>
    <rPh sb="0" eb="2">
      <t>チョウサ</t>
    </rPh>
    <rPh sb="3" eb="5">
      <t>カンテン</t>
    </rPh>
    <phoneticPr fontId="2"/>
  </si>
  <si>
    <t>対応内容</t>
    <rPh sb="0" eb="2">
      <t>タイオウ</t>
    </rPh>
    <rPh sb="2" eb="4">
      <t>ナイヨウ</t>
    </rPh>
    <phoneticPr fontId="2"/>
  </si>
  <si>
    <t>検証日</t>
    <rPh sb="0" eb="2">
      <t>ケンショウ</t>
    </rPh>
    <rPh sb="2" eb="3">
      <t>ヒ</t>
    </rPh>
    <phoneticPr fontId="2"/>
  </si>
  <si>
    <t>検証者</t>
    <rPh sb="0" eb="3">
      <t>ケンショウシャ</t>
    </rPh>
    <phoneticPr fontId="2"/>
  </si>
  <si>
    <t>◆横展開調査進捗</t>
    <rPh sb="1" eb="2">
      <t>ヨコ</t>
    </rPh>
    <rPh sb="2" eb="4">
      <t>テンカイ</t>
    </rPh>
    <rPh sb="4" eb="6">
      <t>チョウサ</t>
    </rPh>
    <rPh sb="6" eb="8">
      <t>シンチョク</t>
    </rPh>
    <phoneticPr fontId="2"/>
  </si>
  <si>
    <t>横展開調査数</t>
    <rPh sb="0" eb="3">
      <t>ヨコテンカイ</t>
    </rPh>
    <rPh sb="3" eb="5">
      <t>チョウサ</t>
    </rPh>
    <rPh sb="5" eb="6">
      <t>スウ</t>
    </rPh>
    <phoneticPr fontId="2"/>
  </si>
  <si>
    <t>調査「否」　</t>
    <rPh sb="0" eb="2">
      <t>チョウサ</t>
    </rPh>
    <rPh sb="3" eb="4">
      <t>イナ</t>
    </rPh>
    <phoneticPr fontId="2"/>
  </si>
  <si>
    <t>　　　調査不要理由　入力済数</t>
    <rPh sb="3" eb="5">
      <t>チョウサ</t>
    </rPh>
    <rPh sb="5" eb="7">
      <t>フヨウ</t>
    </rPh>
    <rPh sb="7" eb="9">
      <t>リユウ</t>
    </rPh>
    <rPh sb="10" eb="13">
      <t>ニュウリョクズ</t>
    </rPh>
    <rPh sb="13" eb="14">
      <t>スウ</t>
    </rPh>
    <phoneticPr fontId="2"/>
  </si>
  <si>
    <t>　　　対応内容　入力済数</t>
    <rPh sb="3" eb="5">
      <t>タイオウ</t>
    </rPh>
    <rPh sb="5" eb="7">
      <t>ナイヨウ</t>
    </rPh>
    <rPh sb="8" eb="10">
      <t>ニュウリョク</t>
    </rPh>
    <rPh sb="10" eb="11">
      <t>スミ</t>
    </rPh>
    <rPh sb="11" eb="12">
      <t>スウ</t>
    </rPh>
    <phoneticPr fontId="2"/>
  </si>
  <si>
    <t>状態（横展開）</t>
    <rPh sb="0" eb="2">
      <t>ジョウタイ</t>
    </rPh>
    <phoneticPr fontId="2"/>
  </si>
  <si>
    <t>対応残数</t>
    <rPh sb="0" eb="2">
      <t>タイオウ</t>
    </rPh>
    <rPh sb="2" eb="3">
      <t>ザン</t>
    </rPh>
    <rPh sb="3" eb="4">
      <t>スウ</t>
    </rPh>
    <phoneticPr fontId="2"/>
  </si>
  <si>
    <t>レビュー残数</t>
    <rPh sb="4" eb="6">
      <t>ザンスウ</t>
    </rPh>
    <phoneticPr fontId="2"/>
  </si>
  <si>
    <t>◆指摘対応進捗のみ</t>
    <phoneticPr fontId="2"/>
  </si>
  <si>
    <t>◆横展開進捗含む</t>
    <rPh sb="1" eb="4">
      <t>ヨコテンカイ</t>
    </rPh>
    <rPh sb="6" eb="7">
      <t>フク</t>
    </rPh>
    <phoneticPr fontId="2"/>
  </si>
  <si>
    <t>状態（横展開）</t>
    <rPh sb="0" eb="2">
      <t>ジョウタイ</t>
    </rPh>
    <rPh sb="3" eb="4">
      <t>ヨコ</t>
    </rPh>
    <rPh sb="4" eb="6">
      <t>テンカイ</t>
    </rPh>
    <phoneticPr fontId="2"/>
  </si>
  <si>
    <t>調査要否</t>
    <rPh sb="0" eb="2">
      <t>チョウサ</t>
    </rPh>
    <rPh sb="2" eb="4">
      <t>ヨウヒ</t>
    </rPh>
    <phoneticPr fontId="2"/>
  </si>
  <si>
    <t>調査の観点</t>
    <phoneticPr fontId="2"/>
  </si>
  <si>
    <t>対応内容</t>
    <phoneticPr fontId="2"/>
  </si>
  <si>
    <t>検証（横展開）</t>
    <rPh sb="0" eb="2">
      <t>ケンショウ</t>
    </rPh>
    <rPh sb="3" eb="6">
      <t>ヨコテンカイ</t>
    </rPh>
    <phoneticPr fontId="2"/>
  </si>
  <si>
    <t>【クローズ（灰色塗りつぶし適用）の条件】
①調査「否」　の場合
・調査「否」　の「理由」欄が記入されていること
・横展開の「検証日」欄、「検証者」欄が記入されていること
②対応状況が「保留」の場合
・調査「要」　の「調査の観点」欄、「対応内容」欄が記入されていること
・横展開の「検証日」欄、「検証者」欄が記入されていること
全ての横展開調査がクローズした時点で、横展開調査を終了（クローズ）と判断する。
横展開調査欄を使用する場合は、レビューと横展開調査どちらも終了した場合に、レビュープロセスを終了（クローズ）と判断する。</t>
    <rPh sb="6" eb="8">
      <t>ハイイロ</t>
    </rPh>
    <rPh sb="8" eb="9">
      <t>ヌ</t>
    </rPh>
    <rPh sb="13" eb="15">
      <t>テキヨウ</t>
    </rPh>
    <rPh sb="17" eb="19">
      <t>ジョウケン</t>
    </rPh>
    <rPh sb="29" eb="31">
      <t>バアイ</t>
    </rPh>
    <rPh sb="44" eb="45">
      <t>ラン</t>
    </rPh>
    <rPh sb="46" eb="48">
      <t>キニュウ</t>
    </rPh>
    <rPh sb="57" eb="60">
      <t>ヨコテンカイ</t>
    </rPh>
    <rPh sb="86" eb="88">
      <t>タイオウ</t>
    </rPh>
    <rPh sb="88" eb="90">
      <t>ジョウキョウ</t>
    </rPh>
    <rPh sb="92" eb="94">
      <t>ホリュウ</t>
    </rPh>
    <rPh sb="96" eb="98">
      <t>バアイ</t>
    </rPh>
    <rPh sb="103" eb="104">
      <t>ヨウ</t>
    </rPh>
    <rPh sb="108" eb="110">
      <t>チョウサ</t>
    </rPh>
    <rPh sb="111" eb="113">
      <t>カンテン</t>
    </rPh>
    <rPh sb="114" eb="115">
      <t>ラン</t>
    </rPh>
    <rPh sb="117" eb="119">
      <t>タイオウ</t>
    </rPh>
    <rPh sb="119" eb="121">
      <t>ナイヨウ</t>
    </rPh>
    <rPh sb="122" eb="123">
      <t>ラン</t>
    </rPh>
    <rPh sb="124" eb="126">
      <t>キニュウ</t>
    </rPh>
    <rPh sb="135" eb="138">
      <t>ヨコテンカイ</t>
    </rPh>
    <rPh sb="140" eb="142">
      <t>ケンショウ</t>
    </rPh>
    <rPh sb="142" eb="143">
      <t>ビ</t>
    </rPh>
    <rPh sb="144" eb="145">
      <t>ラン</t>
    </rPh>
    <rPh sb="147" eb="149">
      <t>ケンショウ</t>
    </rPh>
    <rPh sb="149" eb="150">
      <t>シャ</t>
    </rPh>
    <rPh sb="151" eb="152">
      <t>ラン</t>
    </rPh>
    <rPh sb="153" eb="155">
      <t>キニュウ</t>
    </rPh>
    <rPh sb="164" eb="165">
      <t>スベ</t>
    </rPh>
    <rPh sb="167" eb="172">
      <t>ヨコテンカイチョウサ</t>
    </rPh>
    <rPh sb="179" eb="181">
      <t>ジテン</t>
    </rPh>
    <rPh sb="183" eb="186">
      <t>ヨコテンカイ</t>
    </rPh>
    <rPh sb="186" eb="188">
      <t>チョウサ</t>
    </rPh>
    <rPh sb="189" eb="191">
      <t>シュウリョウ</t>
    </rPh>
    <rPh sb="198" eb="200">
      <t>ハンダン</t>
    </rPh>
    <rPh sb="233" eb="235">
      <t>シュウリョウ</t>
    </rPh>
    <rPh sb="237" eb="239">
      <t>バアイ</t>
    </rPh>
    <rPh sb="250" eb="252">
      <t>シュウリョウ</t>
    </rPh>
    <rPh sb="259" eb="261">
      <t>ハンダン</t>
    </rPh>
    <phoneticPr fontId="2"/>
  </si>
  <si>
    <t>【横展開調査】　※本項目は任意使用欄のため、印刷範囲外に設定されている。必要に応じ印刷範囲を変更して使用すること。</t>
    <rPh sb="13" eb="15">
      <t>ニンイ</t>
    </rPh>
    <rPh sb="15" eb="18">
      <t>シヨウラン</t>
    </rPh>
    <rPh sb="36" eb="38">
      <t>ヒツヨウ</t>
    </rPh>
    <rPh sb="39" eb="40">
      <t>オウ</t>
    </rPh>
    <rPh sb="41" eb="45">
      <t>インサツハンイ</t>
    </rPh>
    <rPh sb="46" eb="48">
      <t>ヘンコウ</t>
    </rPh>
    <rPh sb="50" eb="52">
      <t>シヨウ</t>
    </rPh>
    <phoneticPr fontId="2"/>
  </si>
  <si>
    <t xml:space="preserve">・レビュー指摘に起因した横展開調査が必要か検討して入力する。
同じ不備が他でも想定される、不備の要因から他への影響が懸念される等の場合は、”調査「要」”を選択すること。
・調査”否”とした場合は、「理由」欄の入力必須。
・調査”要”とした場合は、「調査の観点」「対応内容」欄の入力必須。
</t>
    <phoneticPr fontId="2"/>
  </si>
  <si>
    <t>調査「否」</t>
    <rPh sb="0" eb="2">
      <t>チョウサ</t>
    </rPh>
    <rPh sb="3" eb="4">
      <t>イナ</t>
    </rPh>
    <phoneticPr fontId="2"/>
  </si>
  <si>
    <t>「調査要否」欄で「否」を選択した場合に記入する。</t>
    <rPh sb="1" eb="3">
      <t>チョウサ</t>
    </rPh>
    <rPh sb="3" eb="5">
      <t>ヨウヒ</t>
    </rPh>
    <rPh sb="6" eb="7">
      <t>ラン</t>
    </rPh>
    <rPh sb="9" eb="10">
      <t>イナ</t>
    </rPh>
    <rPh sb="12" eb="14">
      <t>センタク</t>
    </rPh>
    <rPh sb="16" eb="18">
      <t>バアイ</t>
    </rPh>
    <rPh sb="19" eb="21">
      <t>キニュウ</t>
    </rPh>
    <phoneticPr fontId="2"/>
  </si>
  <si>
    <t>「調査要否」欄で「要」を選択した場合に記入する。</t>
    <rPh sb="9" eb="10">
      <t>ヨウ</t>
    </rPh>
    <phoneticPr fontId="2"/>
  </si>
  <si>
    <t>横展開調査を行う際の観点を記入する。
例：調査のポイントとなるキーワード、調査対象範囲、調査方法など</t>
    <rPh sb="0" eb="1">
      <t>ヨコ</t>
    </rPh>
    <rPh sb="1" eb="3">
      <t>テンカイ</t>
    </rPh>
    <rPh sb="3" eb="5">
      <t>チョウサ</t>
    </rPh>
    <rPh sb="6" eb="7">
      <t>オコナ</t>
    </rPh>
    <rPh sb="8" eb="9">
      <t>サイ</t>
    </rPh>
    <rPh sb="10" eb="12">
      <t>カンテン</t>
    </rPh>
    <rPh sb="13" eb="15">
      <t>キニュウ</t>
    </rPh>
    <rPh sb="19" eb="20">
      <t>レイ</t>
    </rPh>
    <rPh sb="21" eb="23">
      <t>チョウサ</t>
    </rPh>
    <rPh sb="37" eb="39">
      <t>チョウサ</t>
    </rPh>
    <rPh sb="39" eb="41">
      <t>タイショウ</t>
    </rPh>
    <rPh sb="41" eb="43">
      <t>ハンイ</t>
    </rPh>
    <rPh sb="44" eb="46">
      <t>チョウサ</t>
    </rPh>
    <rPh sb="46" eb="48">
      <t>ホウホウ</t>
    </rPh>
    <phoneticPr fontId="2"/>
  </si>
  <si>
    <t>調査結果、および調査で判明した不備の対応内容を記入する。</t>
    <rPh sb="0" eb="2">
      <t>チョウサ</t>
    </rPh>
    <rPh sb="2" eb="4">
      <t>ケッカ</t>
    </rPh>
    <rPh sb="8" eb="10">
      <t>チョウサ</t>
    </rPh>
    <rPh sb="11" eb="13">
      <t>ハンメイ</t>
    </rPh>
    <rPh sb="15" eb="17">
      <t>フビ</t>
    </rPh>
    <rPh sb="18" eb="20">
      <t>タイオウ</t>
    </rPh>
    <rPh sb="20" eb="22">
      <t>ナイヨウ</t>
    </rPh>
    <rPh sb="23" eb="25">
      <t>キニュウ</t>
    </rPh>
    <phoneticPr fontId="2"/>
  </si>
  <si>
    <t>横展開
対応日</t>
    <rPh sb="0" eb="3">
      <t>ヨコテンカイ</t>
    </rPh>
    <rPh sb="4" eb="6">
      <t>タイオウ</t>
    </rPh>
    <rPh sb="6" eb="7">
      <t>ビ</t>
    </rPh>
    <phoneticPr fontId="2"/>
  </si>
  <si>
    <t>横展開
対応者</t>
    <rPh sb="0" eb="3">
      <t>ヨコテンカイ</t>
    </rPh>
    <rPh sb="4" eb="6">
      <t>タイオウ</t>
    </rPh>
    <rPh sb="6" eb="7">
      <t>シャ</t>
    </rPh>
    <phoneticPr fontId="2"/>
  </si>
  <si>
    <t>横展開対応日</t>
    <rPh sb="0" eb="3">
      <t>ヨコテンカイ</t>
    </rPh>
    <rPh sb="3" eb="5">
      <t>タイオウ</t>
    </rPh>
    <rPh sb="5" eb="6">
      <t>ヒ</t>
    </rPh>
    <phoneticPr fontId="2"/>
  </si>
  <si>
    <t>横展開対応者</t>
    <rPh sb="0" eb="3">
      <t>ヨコテンカイ</t>
    </rPh>
    <rPh sb="3" eb="5">
      <t>タイオウ</t>
    </rPh>
    <rPh sb="5" eb="6">
      <t>シャ</t>
    </rPh>
    <phoneticPr fontId="2"/>
  </si>
  <si>
    <t>横展開調査欄の使用有無</t>
    <phoneticPr fontId="2"/>
  </si>
  <si>
    <t>横展開調査欄（Ｖ列移行）を使用するかをリストより選択する。
・使用する
・使用しない</t>
    <rPh sb="0" eb="5">
      <t>ヨコテンカイチョウサ</t>
    </rPh>
    <rPh sb="5" eb="6">
      <t>ラン</t>
    </rPh>
    <rPh sb="8" eb="9">
      <t>レツ</t>
    </rPh>
    <rPh sb="9" eb="11">
      <t>イコウ</t>
    </rPh>
    <rPh sb="13" eb="15">
      <t>シヨウ</t>
    </rPh>
    <rPh sb="24" eb="26">
      <t>センタク</t>
    </rPh>
    <rPh sb="31" eb="33">
      <t>シヨウ</t>
    </rPh>
    <rPh sb="37" eb="39">
      <t>シヨウ</t>
    </rPh>
    <phoneticPr fontId="2"/>
  </si>
  <si>
    <t>・デフォルトでは「使用しない」が選択された状態としている。必要に応じ「使用する」に変更すること。
・「使用する」を選択した場合は、レビュー実施記録のクローズ条件が、レビュー指摘/横展開調査全てが完了した場合に変更となる。</t>
    <rPh sb="9" eb="11">
      <t>シヨウ</t>
    </rPh>
    <rPh sb="16" eb="18">
      <t>センタク</t>
    </rPh>
    <rPh sb="21" eb="23">
      <t>ジョウタイ</t>
    </rPh>
    <rPh sb="29" eb="31">
      <t>ヒツヨウ</t>
    </rPh>
    <rPh sb="32" eb="33">
      <t>オウ</t>
    </rPh>
    <rPh sb="35" eb="37">
      <t>シヨウ</t>
    </rPh>
    <rPh sb="41" eb="43">
      <t>ヘンコウ</t>
    </rPh>
    <rPh sb="51" eb="53">
      <t>シヨウ</t>
    </rPh>
    <rPh sb="57" eb="59">
      <t>センタク</t>
    </rPh>
    <rPh sb="61" eb="63">
      <t>バアイ</t>
    </rPh>
    <rPh sb="69" eb="73">
      <t>ジッシキロク</t>
    </rPh>
    <rPh sb="78" eb="80">
      <t>ジョウケン</t>
    </rPh>
    <rPh sb="86" eb="88">
      <t>シテキ</t>
    </rPh>
    <rPh sb="89" eb="92">
      <t>ヨコテンカイ</t>
    </rPh>
    <rPh sb="92" eb="94">
      <t>チョウサ</t>
    </rPh>
    <rPh sb="94" eb="95">
      <t>スベ</t>
    </rPh>
    <rPh sb="97" eb="99">
      <t>カンリョウ</t>
    </rPh>
    <rPh sb="101" eb="103">
      <t>バアイ</t>
    </rPh>
    <rPh sb="104" eb="106">
      <t>ヘンコウ</t>
    </rPh>
    <phoneticPr fontId="2"/>
  </si>
  <si>
    <t>横展開調査の管理状態を、横展開調査の記録内容から自動判定する。
・CLOSE … 全ての横展開調査がクローズされている。
・OPEN … クローズされていない横展開調査がある。</t>
    <rPh sb="0" eb="3">
      <t>ヨコテンカイ</t>
    </rPh>
    <rPh sb="3" eb="5">
      <t>チョウサ</t>
    </rPh>
    <rPh sb="6" eb="8">
      <t>カンリ</t>
    </rPh>
    <rPh sb="8" eb="10">
      <t>ジョウタイ</t>
    </rPh>
    <rPh sb="26" eb="28">
      <t>ジドウ</t>
    </rPh>
    <rPh sb="28" eb="30">
      <t>ハンテイ</t>
    </rPh>
    <phoneticPr fontId="2"/>
  </si>
  <si>
    <t>◆横展開調査（この欄を使用する場合、全ての指摘対応と横展開対応が検証済みになった場合、レビュー実施記録の状態欄が「CLOSE」となる）</t>
    <rPh sb="1" eb="2">
      <t>ヨコ</t>
    </rPh>
    <rPh sb="2" eb="4">
      <t>テンカイ</t>
    </rPh>
    <rPh sb="4" eb="6">
      <t>チョウサ</t>
    </rPh>
    <rPh sb="9" eb="10">
      <t>ラン</t>
    </rPh>
    <rPh sb="11" eb="13">
      <t>シヨウ</t>
    </rPh>
    <rPh sb="15" eb="17">
      <t>バアイ</t>
    </rPh>
    <rPh sb="18" eb="19">
      <t>スベ</t>
    </rPh>
    <rPh sb="21" eb="23">
      <t>シテキ</t>
    </rPh>
    <rPh sb="23" eb="25">
      <t>タイオウ</t>
    </rPh>
    <rPh sb="26" eb="29">
      <t>ヨコテンカイ</t>
    </rPh>
    <rPh sb="29" eb="31">
      <t>タイオウ</t>
    </rPh>
    <rPh sb="32" eb="35">
      <t>ケンショウズ</t>
    </rPh>
    <rPh sb="40" eb="42">
      <t>バアイ</t>
    </rPh>
    <rPh sb="47" eb="51">
      <t>ジッシキロク</t>
    </rPh>
    <rPh sb="52" eb="54">
      <t>ジョウタイ</t>
    </rPh>
    <rPh sb="54" eb="55">
      <t>ラン</t>
    </rPh>
    <phoneticPr fontId="2"/>
  </si>
  <si>
    <t>レビューアがすべての指摘の対応結果を確認する（検証）。対応状況が"対応無し"や"保留"の場合も、その判断と対応が適切であるかを検証する。
対応結果が問題無いと判断した場合、「検証日」と「検証者」を記入し、指摘をクローズする。
【クローズの条件】
①対応状況が「対応済み」の場合
・「対応内容」欄に対応内容が記入されていること
・「対応内容」通りの対応が行われていること
②対応状況が「対応無し」の場合
・「対応内容」欄に理由が記入されていること
③対応状況が「保留」の場合
・当該指摘の今後の対応方針や管理方法が明確になっていること
・「関連ID」欄が記入されていること
例）
　・課題一覧に起票（「関連ID」欄に課題IDを記入）
　・WBSにタスクを追加（「関連ID」欄に「-」を記入）
対応に問題があった場合、再指摘として指摘を追記し、作成者に返却する。
【再指摘時の対応方法】
　・レビューアは、再指摘内容を「指摘内容」欄に追記する。
　　内容には再指摘日と指摘者名を加え、文字色を変えることを推奨する。
　・作成者は、再指摘に対する対応結果を、上記と同様の形式で対になるよう「対応内容」欄に追記する。</t>
    <rPh sb="33" eb="35">
      <t>タイオウ</t>
    </rPh>
    <rPh sb="131" eb="133">
      <t>タイオウ</t>
    </rPh>
    <rPh sb="149" eb="151">
      <t>タイオウ</t>
    </rPh>
    <rPh sb="154" eb="156">
      <t>キニュウ</t>
    </rPh>
    <rPh sb="166" eb="168">
      <t>タイオウ</t>
    </rPh>
    <rPh sb="168" eb="170">
      <t>ナイヨウ</t>
    </rPh>
    <rPh sb="171" eb="172">
      <t>ドオ</t>
    </rPh>
    <rPh sb="174" eb="176">
      <t>タイオウ</t>
    </rPh>
    <rPh sb="177" eb="178">
      <t>オコナ</t>
    </rPh>
    <rPh sb="193" eb="195">
      <t>タイオウ</t>
    </rPh>
    <rPh sb="214" eb="216">
      <t>キニュウ</t>
    </rPh>
    <rPh sb="239" eb="241">
      <t>トウガイ</t>
    </rPh>
    <rPh sb="241" eb="243">
      <t>シテキ</t>
    </rPh>
    <rPh sb="244" eb="246">
      <t>コンゴ</t>
    </rPh>
    <rPh sb="247" eb="249">
      <t>タイオウ</t>
    </rPh>
    <rPh sb="249" eb="251">
      <t>ホウシン</t>
    </rPh>
    <rPh sb="252" eb="254">
      <t>カンリ</t>
    </rPh>
    <rPh sb="254" eb="256">
      <t>ホウホウ</t>
    </rPh>
    <rPh sb="257" eb="259">
      <t>メイカク</t>
    </rPh>
    <rPh sb="270" eb="272">
      <t>カンレン</t>
    </rPh>
    <rPh sb="275" eb="276">
      <t>ラン</t>
    </rPh>
    <rPh sb="277" eb="279">
      <t>キニュウ</t>
    </rPh>
    <rPh sb="292" eb="294">
      <t>カダイ</t>
    </rPh>
    <rPh sb="294" eb="296">
      <t>イチラン</t>
    </rPh>
    <rPh sb="297" eb="299">
      <t>キヒョウ</t>
    </rPh>
    <rPh sb="301" eb="303">
      <t>カンレン</t>
    </rPh>
    <rPh sb="306" eb="307">
      <t>ラン</t>
    </rPh>
    <rPh sb="308" eb="310">
      <t>カダイ</t>
    </rPh>
    <rPh sb="313" eb="315">
      <t>キニュウ</t>
    </rPh>
    <rPh sb="327" eb="329">
      <t>ツイカ</t>
    </rPh>
    <rPh sb="331" eb="333">
      <t>カンレン</t>
    </rPh>
    <rPh sb="336" eb="337">
      <t>ラン</t>
    </rPh>
    <rPh sb="342" eb="344">
      <t>キニュウ</t>
    </rPh>
    <phoneticPr fontId="2"/>
  </si>
  <si>
    <t>リストから選択する。
・要　…　横展開調査が必要
・否　…　横展開調査が不要</t>
    <rPh sb="5" eb="7">
      <t>センタク</t>
    </rPh>
    <rPh sb="12" eb="13">
      <t>ヨウ</t>
    </rPh>
    <rPh sb="16" eb="17">
      <t>ヨコ</t>
    </rPh>
    <rPh sb="17" eb="19">
      <t>テンカイ</t>
    </rPh>
    <rPh sb="19" eb="21">
      <t>チョウサ</t>
    </rPh>
    <rPh sb="22" eb="24">
      <t>ヒツヨウ</t>
    </rPh>
    <rPh sb="26" eb="27">
      <t>イナ</t>
    </rPh>
    <rPh sb="30" eb="31">
      <t>ヨコ</t>
    </rPh>
    <rPh sb="31" eb="33">
      <t>テンカイ</t>
    </rPh>
    <rPh sb="33" eb="35">
      <t>チョウサ</t>
    </rPh>
    <rPh sb="36" eb="38">
      <t>フヨウ</t>
    </rPh>
    <phoneticPr fontId="2"/>
  </si>
  <si>
    <t>横展開調査を不要と判断した理由を記入する。</t>
    <rPh sb="0" eb="1">
      <t>ヨコ</t>
    </rPh>
    <rPh sb="1" eb="3">
      <t>テンカイ</t>
    </rPh>
    <rPh sb="3" eb="5">
      <t>チョウサ</t>
    </rPh>
    <rPh sb="6" eb="8">
      <t>フヨウ</t>
    </rPh>
    <rPh sb="9" eb="11">
      <t>ハンダン</t>
    </rPh>
    <rPh sb="13" eb="15">
      <t>リユウ</t>
    </rPh>
    <rPh sb="16" eb="18">
      <t>キニュウ</t>
    </rPh>
    <phoneticPr fontId="2"/>
  </si>
  <si>
    <t>・調査「否」の場合は、「理由」欄の記入者名を入力する。
・調査「要」の場合は、「対応内容」欄の記入者名を入力する。</t>
    <rPh sb="1" eb="3">
      <t>チョウサ</t>
    </rPh>
    <rPh sb="4" eb="5">
      <t>イナ</t>
    </rPh>
    <rPh sb="7" eb="9">
      <t>バアイ</t>
    </rPh>
    <rPh sb="12" eb="14">
      <t>リユウ</t>
    </rPh>
    <rPh sb="15" eb="16">
      <t>ラン</t>
    </rPh>
    <rPh sb="17" eb="19">
      <t>キニュウ</t>
    </rPh>
    <rPh sb="19" eb="20">
      <t>シャ</t>
    </rPh>
    <rPh sb="20" eb="21">
      <t>メイ</t>
    </rPh>
    <rPh sb="22" eb="24">
      <t>ニュウリョク</t>
    </rPh>
    <rPh sb="29" eb="31">
      <t>チョウサ</t>
    </rPh>
    <rPh sb="32" eb="33">
      <t>ヨウ</t>
    </rPh>
    <rPh sb="35" eb="37">
      <t>バアイ</t>
    </rPh>
    <rPh sb="40" eb="42">
      <t>タイオウ</t>
    </rPh>
    <rPh sb="42" eb="44">
      <t>ナイヨウ</t>
    </rPh>
    <rPh sb="45" eb="46">
      <t>ラン</t>
    </rPh>
    <rPh sb="47" eb="49">
      <t>キニュウ</t>
    </rPh>
    <rPh sb="49" eb="50">
      <t>シャ</t>
    </rPh>
    <rPh sb="50" eb="51">
      <t>メイ</t>
    </rPh>
    <rPh sb="52" eb="54">
      <t>ニュウリョク</t>
    </rPh>
    <phoneticPr fontId="2"/>
  </si>
  <si>
    <t xml:space="preserve">レビューアが横展開調査の対応結果を確認する（検証）。調査「否」　の場合はその理由を、調査「要」の場合は、調査の観点とその結果の対応が適切であるかを検証する。
対応結果が問題無いと判断した場合、「検証日」と「検証者」を記入し、クローズする。
【クローズの条件】
①横展開調査要否が「否」の場合
・「理由」欄に横展開調査が不要の理由が記入されていること
②横展開調査要否が「要」の場合
・「調査の観点」欄に横展開調査の観点が記入されていること
・「対応内容」欄に横展開調査の結果に沿って対応した結果が記入されていること
・横展開調査やその後の対応を別管理する場合は、「対応内容」欄にその旨が記入されていること。
横展開要否の判断などに問題があった場合、再指摘として指摘を追記し、作成者に返却する。
【再指摘時の対応方法】
・レビューアは、再指摘内容を「指摘内容」欄に追記する。
　内容には再指摘日と指摘者名を加え、文字色を変えることを推奨する。
・作成者は、再指摘に対する対応結果を、上記と同様の形式で対になるよう「対応内容」欄に追記する。
</t>
    <rPh sb="6" eb="11">
      <t>ヨコテンカイチョウサ</t>
    </rPh>
    <rPh sb="33" eb="35">
      <t>バアイ</t>
    </rPh>
    <rPh sb="38" eb="40">
      <t>リユウ</t>
    </rPh>
    <rPh sb="52" eb="54">
      <t>チョウサ</t>
    </rPh>
    <rPh sb="55" eb="57">
      <t>カンテン</t>
    </rPh>
    <rPh sb="60" eb="62">
      <t>ケッカ</t>
    </rPh>
    <rPh sb="132" eb="135">
      <t>ヨコテンカイ</t>
    </rPh>
    <rPh sb="135" eb="137">
      <t>チョウサ</t>
    </rPh>
    <rPh sb="137" eb="139">
      <t>ヨウヒ</t>
    </rPh>
    <rPh sb="154" eb="157">
      <t>ヨコテンカイ</t>
    </rPh>
    <rPh sb="157" eb="159">
      <t>チョウサ</t>
    </rPh>
    <rPh sb="160" eb="162">
      <t>フヨウ</t>
    </rPh>
    <rPh sb="163" eb="165">
      <t>リユウ</t>
    </rPh>
    <rPh sb="166" eb="168">
      <t>キニュウ</t>
    </rPh>
    <rPh sb="186" eb="187">
      <t>ヨウ</t>
    </rPh>
    <rPh sb="194" eb="196">
      <t>チョウサ</t>
    </rPh>
    <rPh sb="197" eb="199">
      <t>カンテン</t>
    </rPh>
    <rPh sb="202" eb="205">
      <t>ヨコテンカイ</t>
    </rPh>
    <rPh sb="205" eb="207">
      <t>チョウサ</t>
    </rPh>
    <rPh sb="208" eb="210">
      <t>カンテン</t>
    </rPh>
    <rPh sb="211" eb="213">
      <t>キニュウ</t>
    </rPh>
    <rPh sb="223" eb="225">
      <t>タイオウ</t>
    </rPh>
    <rPh sb="225" eb="227">
      <t>ナイヨウ</t>
    </rPh>
    <rPh sb="236" eb="238">
      <t>ケッカ</t>
    </rPh>
    <rPh sb="239" eb="240">
      <t>ソ</t>
    </rPh>
    <rPh sb="242" eb="244">
      <t>タイオウ</t>
    </rPh>
    <rPh sb="246" eb="248">
      <t>ケッカ</t>
    </rPh>
    <rPh sb="278" eb="280">
      <t>バアイ</t>
    </rPh>
    <rPh sb="294" eb="296">
      <t>キニュウ</t>
    </rPh>
    <phoneticPr fontId="2"/>
  </si>
  <si>
    <t>・調査「否」の場合は、「理由」欄の記入日を入力する。
・調査「要」の場合は、「対応内容」欄の記入日を入力する。</t>
    <rPh sb="1" eb="3">
      <t>チョウサ</t>
    </rPh>
    <rPh sb="4" eb="5">
      <t>イナ</t>
    </rPh>
    <rPh sb="7" eb="9">
      <t>バアイ</t>
    </rPh>
    <rPh sb="12" eb="14">
      <t>リユウ</t>
    </rPh>
    <rPh sb="15" eb="16">
      <t>ラン</t>
    </rPh>
    <rPh sb="17" eb="19">
      <t>キニュウ</t>
    </rPh>
    <rPh sb="19" eb="20">
      <t>ヒ</t>
    </rPh>
    <rPh sb="21" eb="23">
      <t>ニュウリョク</t>
    </rPh>
    <rPh sb="28" eb="30">
      <t>チョウサ</t>
    </rPh>
    <rPh sb="31" eb="32">
      <t>ヨウ</t>
    </rPh>
    <rPh sb="34" eb="36">
      <t>バアイ</t>
    </rPh>
    <rPh sb="39" eb="41">
      <t>タイオウ</t>
    </rPh>
    <rPh sb="41" eb="43">
      <t>ナイヨウ</t>
    </rPh>
    <rPh sb="44" eb="45">
      <t>ラン</t>
    </rPh>
    <phoneticPr fontId="2"/>
  </si>
  <si>
    <t>状態欄判定用</t>
    <phoneticPr fontId="2"/>
  </si>
  <si>
    <t>・複数の指摘で横展開調査が重複する場合は、一括して調査する。対応内容欄は代表の指摘番号のみ具体的に記入し、残りは○○（代表とした指摘番号）参照」で良い。
但し、過去（対応済）の調査で代替することは不可。
例）前フェーズで同じ観点で調査し対応済だった場合、今フェーズで類似の不備が指摘されるのは、前回の調査漏れ・対応漏れが懸念される為、再度調査が必要。
・横展開調査やその後の対応に時間を要する場合は、調査を別管理（WBS・課題一覧等）に変更しても良い。その場合は、「対応内容」欄に管理先を入力しトレース可能にすること。
・調査時に別の不備を検知した場合は、新たなレビュー指摘としてレビュー指摘リストに追加する。</t>
    <rPh sb="49" eb="51">
      <t>キニュウ</t>
    </rPh>
    <rPh sb="102" eb="103">
      <t>レイ</t>
    </rPh>
    <rPh sb="185" eb="186">
      <t>ゴ</t>
    </rPh>
    <rPh sb="187" eb="189">
      <t>タイオウ</t>
    </rPh>
    <rPh sb="196" eb="198">
      <t>バアイ</t>
    </rPh>
    <rPh sb="213" eb="215">
      <t>イチラン</t>
    </rPh>
    <rPh sb="215" eb="216">
      <t>ナド</t>
    </rPh>
    <rPh sb="228" eb="230">
      <t>バアイ</t>
    </rPh>
    <phoneticPr fontId="2"/>
  </si>
  <si>
    <t>使用しない</t>
  </si>
  <si>
    <t>全体のシステム構成が明確になっているか。（本番環境、準本番環境、開発環境など複数環境の差異が明確に記載されているか。）</t>
    <rPh sb="7" eb="9">
      <t>コウセイ</t>
    </rPh>
    <rPh sb="10" eb="12">
      <t>メイカク</t>
    </rPh>
    <rPh sb="21" eb="25">
      <t>ホンバンカンキョウ</t>
    </rPh>
    <rPh sb="26" eb="31">
      <t>ジュンホンバンカンキョウ</t>
    </rPh>
    <rPh sb="32" eb="34">
      <t>カイハツ</t>
    </rPh>
    <rPh sb="34" eb="36">
      <t>カンキョウ</t>
    </rPh>
    <rPh sb="38" eb="40">
      <t>フクスウ</t>
    </rPh>
    <rPh sb="40" eb="42">
      <t>カンキョウ</t>
    </rPh>
    <rPh sb="43" eb="45">
      <t>サイ</t>
    </rPh>
    <rPh sb="46" eb="48">
      <t>メイカク</t>
    </rPh>
    <rPh sb="49" eb="51">
      <t>キサイ</t>
    </rPh>
    <phoneticPr fontId="2"/>
  </si>
  <si>
    <t>開発環境との差異による考慮事項を明確にし、説明が記述されているか。</t>
  </si>
  <si>
    <t>指摘内容の原因区分を、リストから選択する（指摘分類が質問・確認の場合選択は任意）。
　・元資料不備 … [レビュー対象成果物]のベースである、前工程で作成された
　　　元資料の記述内容に不備（欠陥）がある。
　・仕様取込不備 … 前工程で作成された「元資料」の不正確な取り込みにより、
　　　不備がある記述内容。
　　　例）外部設計フェーズにおける、要件自体の取込み漏れ、または、誤って
　　　解釈した要件の取込み。
　・技術的不備 … 技術的に実現困難な記述内容。
　・あいまい表現 … 具体化/詳細化が必要な、あいまいさのある記述内容。
　・考慮不足 … 現工程/後工程に対する考慮漏れ・検討不足により、
　　　不備がある記述内容。
　・不整合 … 関連資料/関連箇所の内容と照合した結果、整合性のない、
　　　矛盾した記述内容。
　・ルール不順守 … 既定の規約や記述ルールに、則っていない記述内容。
　・誤字脱字・形式不備 … 誤字脱字、レイアウトやスタイル（罫線やフォントなど）
　　　に不備がある記述内容。
　・仕様改善提案 … 不備ではないが、まだ、改善検討の余地が残っている
　　　記述内容。</t>
    <rPh sb="0" eb="2">
      <t>シテキ</t>
    </rPh>
    <rPh sb="2" eb="4">
      <t>ナイヨウ</t>
    </rPh>
    <rPh sb="5" eb="7">
      <t>ゲンイン</t>
    </rPh>
    <rPh sb="7" eb="9">
      <t>クブン</t>
    </rPh>
    <phoneticPr fontId="2"/>
  </si>
  <si>
    <r>
      <t xml:space="preserve">【クローズ（灰色塗りつぶし適用）の条件】
①対応状況が「対応済み」「対応無し」の場合
・「対応内容」欄が記入されていること
・「検証日」欄、「検証者」欄が記入されていること
②対応状況が「保留」の場合
・「対応内容」欄が記入されていること
・「関連ID」欄が記入されていること
・「検証日」欄、「検証者」欄が記入されていること
全ての指摘がクローズした時点で、レビューを終了（クローズ）と判断する。
</t>
    </r>
    <r>
      <rPr>
        <sz val="9"/>
        <color indexed="10"/>
        <rFont val="ＭＳ Ｐゴシック"/>
        <family val="3"/>
        <charset val="128"/>
      </rPr>
      <t>顧客レビューの場合、レビューア（プロジェクトメンバー）は欠陥の是正を確認し、「レビュー指摘リスト（検証）」を記入する。検証合格の場合、顧客へレビューを依頼する。
顧客は欠陥の是正を確認し、「レビュー指摘リスト（顧客検証欄）」を記入する。</t>
    </r>
    <rPh sb="6" eb="8">
      <t>ハイイロ</t>
    </rPh>
    <rPh sb="8" eb="9">
      <t>ヌ</t>
    </rPh>
    <rPh sb="13" eb="15">
      <t>テキヨウ</t>
    </rPh>
    <rPh sb="17" eb="19">
      <t>ジョウケン</t>
    </rPh>
    <rPh sb="165" eb="166">
      <t>スベ</t>
    </rPh>
    <rPh sb="168" eb="170">
      <t>シテキ</t>
    </rPh>
    <rPh sb="177" eb="179">
      <t>ジテン</t>
    </rPh>
    <rPh sb="186" eb="188">
      <t>シュウリョウ</t>
    </rPh>
    <rPh sb="195" eb="197">
      <t>ハンダン</t>
    </rPh>
    <rPh sb="202" eb="204">
      <t>コキャク</t>
    </rPh>
    <rPh sb="209" eb="211">
      <t>バアイ</t>
    </rPh>
    <phoneticPr fontId="2"/>
  </si>
  <si>
    <t xml:space="preserve">各プロジェクトが、以下 「レビューID」採番ルールで定義した割り当て方法で、レビューを個別に識別できるIDを設定し、記入する。
 ■「レビューID」採番ルール
 ・レビューを実施する際、レビュー1回ごとに、レビューを個別に識別できるIDを設定して管理する。
 ・計画のどのレビューに該当するかを明確にするため、次のパターンに則って割り当てる。 　「レビューID」は、レビュー実施記録のファイル名設定などに使用する。
 【パターン】 ① - ② - ③ - ④ 
　∟①：　フェーズ略称 　
　∟②：　レビュー単位ごとの名称やID （例：対象機能ID、サブシステム名称） 
　∟③：　レビュー方式 
　∟④：　レビュー回数　（2桁表記、"01"～"99"） 
（例） ED-共通-会議-02　（外部設計フェーズ、共通機能を対象とした会議レビューの2回目） </t>
    <phoneticPr fontId="2"/>
  </si>
  <si>
    <t>標準ID：DM-010　Ver8.4</t>
    <phoneticPr fontId="2"/>
  </si>
  <si>
    <t>SIEM導入</t>
    <rPh sb="4" eb="6">
      <t>ドウニュウ</t>
    </rPh>
    <phoneticPr fontId="2"/>
  </si>
  <si>
    <t>個人</t>
  </si>
  <si>
    <t>下田</t>
    <rPh sb="0" eb="2">
      <t>シモダ</t>
    </rPh>
    <phoneticPr fontId="2"/>
  </si>
  <si>
    <t>表記ゆれ「通報」「通知」「一時連絡」が混在しているので、言葉を統一すること</t>
    <rPh sb="0" eb="2">
      <t>ヒョウキ</t>
    </rPh>
    <rPh sb="5" eb="7">
      <t>ツウホウ</t>
    </rPh>
    <rPh sb="9" eb="11">
      <t>ツウチ</t>
    </rPh>
    <rPh sb="13" eb="17">
      <t>イチジレンラク</t>
    </rPh>
    <rPh sb="19" eb="21">
      <t>コンザイ</t>
    </rPh>
    <rPh sb="28" eb="30">
      <t>コトバ</t>
    </rPh>
    <rPh sb="31" eb="33">
      <t>トウイツ</t>
    </rPh>
    <phoneticPr fontId="2"/>
  </si>
  <si>
    <t>仕様改善提案</t>
  </si>
  <si>
    <t>【修正中】運用設計書_SIEM導入PoC_v1.1 1.xlsx</t>
    <rPh sb="1" eb="4">
      <t>シュウセイチュウ</t>
    </rPh>
    <rPh sb="5" eb="7">
      <t>ウンヨウ</t>
    </rPh>
    <rPh sb="7" eb="10">
      <t>セッケイショ</t>
    </rPh>
    <rPh sb="15" eb="17">
      <t>ドウニュウ</t>
    </rPh>
    <phoneticPr fontId="2"/>
  </si>
  <si>
    <t>全体</t>
    <rPh sb="0" eb="2">
      <t>ゼンタイ</t>
    </rPh>
    <phoneticPr fontId="2"/>
  </si>
  <si>
    <t>タイトル</t>
    <phoneticPr fontId="2"/>
  </si>
  <si>
    <t>SIEM導入はプロジェクト名なので、「SIEM　運用設計書」とした方が良い</t>
    <rPh sb="4" eb="6">
      <t>ドウニュウ</t>
    </rPh>
    <rPh sb="13" eb="14">
      <t>メイ</t>
    </rPh>
    <rPh sb="24" eb="26">
      <t>ウンヨウ</t>
    </rPh>
    <rPh sb="26" eb="29">
      <t>セッケイショ</t>
    </rPh>
    <rPh sb="33" eb="34">
      <t>ホウ</t>
    </rPh>
    <rPh sb="35" eb="36">
      <t>ヨ</t>
    </rPh>
    <phoneticPr fontId="2"/>
  </si>
  <si>
    <t>ファイル名</t>
    <rPh sb="4" eb="5">
      <t>メイ</t>
    </rPh>
    <phoneticPr fontId="2"/>
  </si>
  <si>
    <t>PoCは要らないかと思います。</t>
    <rPh sb="4" eb="5">
      <t>イ</t>
    </rPh>
    <rPh sb="10" eb="11">
      <t>オモ</t>
    </rPh>
    <phoneticPr fontId="2"/>
  </si>
  <si>
    <t>目的</t>
    <rPh sb="0" eb="2">
      <t>モクテキ</t>
    </rPh>
    <phoneticPr fontId="2"/>
  </si>
  <si>
    <t>「本番運用開始は2026年9月28日週（予定）とし、運用開始以降は本書に基づき運用する。」とあるが、予定は書かない。（10/19予定でもないし）</t>
    <rPh sb="50" eb="52">
      <t>ヨテイ</t>
    </rPh>
    <rPh sb="53" eb="54">
      <t>カ</t>
    </rPh>
    <rPh sb="64" eb="66">
      <t>ヨテイ</t>
    </rPh>
    <phoneticPr fontId="2"/>
  </si>
  <si>
    <t>範囲</t>
    <rPh sb="0" eb="2">
      <t>ハンイ</t>
    </rPh>
    <phoneticPr fontId="2"/>
  </si>
  <si>
    <t>L14</t>
    <phoneticPr fontId="2"/>
  </si>
  <si>
    <t>L13とL14の間に1行空ける</t>
    <rPh sb="8" eb="9">
      <t>アイダ</t>
    </rPh>
    <rPh sb="11" eb="12">
      <t>ギョウ</t>
    </rPh>
    <rPh sb="12" eb="13">
      <t>ア</t>
    </rPh>
    <phoneticPr fontId="2"/>
  </si>
  <si>
    <t>「別紙「責任分界表」（KEL社修正版）」が最終名称か？修正版はドラフトでは？</t>
    <rPh sb="21" eb="25">
      <t>サイシュウメイショウ</t>
    </rPh>
    <rPh sb="27" eb="30">
      <t>シュウセイバン</t>
    </rPh>
    <phoneticPr fontId="2"/>
  </si>
  <si>
    <t>前提条件</t>
    <rPh sb="0" eb="2">
      <t>ゼンテイ</t>
    </rPh>
    <rPh sb="2" eb="4">
      <t>ジョウケン</t>
    </rPh>
    <phoneticPr fontId="2"/>
  </si>
  <si>
    <t>フォレンジックは役務範囲外と書かれているが、この運用設計は1.2 範囲の中で、⑧フォレンジックを対象にすると書かれているのは何故か？</t>
    <rPh sb="8" eb="10">
      <t>エキム</t>
    </rPh>
    <rPh sb="10" eb="13">
      <t>ハンイガイ</t>
    </rPh>
    <rPh sb="14" eb="15">
      <t>カ</t>
    </rPh>
    <rPh sb="24" eb="26">
      <t>ウンヨウ</t>
    </rPh>
    <rPh sb="26" eb="28">
      <t>セッケイ</t>
    </rPh>
    <rPh sb="33" eb="35">
      <t>ハンイ</t>
    </rPh>
    <rPh sb="36" eb="37">
      <t>ナカ</t>
    </rPh>
    <rPh sb="48" eb="50">
      <t>タイショウ</t>
    </rPh>
    <rPh sb="54" eb="55">
      <t>カ</t>
    </rPh>
    <rPh sb="62" eb="64">
      <t>ナゼ</t>
    </rPh>
    <phoneticPr fontId="2"/>
  </si>
  <si>
    <t>L45～L50</t>
    <phoneticPr fontId="2"/>
  </si>
  <si>
    <t>中黒・が赤字になっている。</t>
    <rPh sb="0" eb="2">
      <t>ナカグロ</t>
    </rPh>
    <rPh sb="4" eb="6">
      <t>アカジ</t>
    </rPh>
    <phoneticPr fontId="2"/>
  </si>
  <si>
    <t>「利用規約はクラウド会社により変更される場合がある」とあるが、変更された場合は連絡が来るのか？</t>
    <rPh sb="31" eb="33">
      <t>ヘンコウ</t>
    </rPh>
    <rPh sb="36" eb="38">
      <t>バアイ</t>
    </rPh>
    <rPh sb="39" eb="41">
      <t>レンラク</t>
    </rPh>
    <rPh sb="42" eb="43">
      <t>ク</t>
    </rPh>
    <phoneticPr fontId="2"/>
  </si>
  <si>
    <t>L43～L44</t>
    <phoneticPr fontId="2"/>
  </si>
  <si>
    <t>「KMS-XDRサービス提供条件書 2.1」の2.1は項番？　不要では？記載するのであれば、項目名まで書いてほしい。バージョンと読み違える。</t>
    <rPh sb="27" eb="29">
      <t>コウバン</t>
    </rPh>
    <rPh sb="31" eb="33">
      <t>フヨウ</t>
    </rPh>
    <rPh sb="36" eb="38">
      <t>キサイ</t>
    </rPh>
    <rPh sb="46" eb="48">
      <t>コウモク</t>
    </rPh>
    <rPh sb="48" eb="49">
      <t>メイ</t>
    </rPh>
    <rPh sb="51" eb="52">
      <t>カ</t>
    </rPh>
    <rPh sb="64" eb="65">
      <t>ヨ</t>
    </rPh>
    <rPh sb="66" eb="67">
      <t>チガ</t>
    </rPh>
    <phoneticPr fontId="2"/>
  </si>
  <si>
    <t>No.5の指摘と同じ</t>
    <rPh sb="5" eb="7">
      <t>シテキ</t>
    </rPh>
    <rPh sb="8" eb="9">
      <t>オナ</t>
    </rPh>
    <phoneticPr fontId="2"/>
  </si>
  <si>
    <t>サービス提供構成L93</t>
    <rPh sb="4" eb="6">
      <t>テイキョウ</t>
    </rPh>
    <rPh sb="6" eb="8">
      <t>コウセイ</t>
    </rPh>
    <phoneticPr fontId="2"/>
  </si>
  <si>
    <t>サービス提供構成L99</t>
    <rPh sb="4" eb="6">
      <t>テイキョウ</t>
    </rPh>
    <rPh sb="6" eb="8">
      <t>コウセイ</t>
    </rPh>
    <phoneticPr fontId="2"/>
  </si>
  <si>
    <t>サービス提供構成L107</t>
    <rPh sb="4" eb="6">
      <t>テイキョウ</t>
    </rPh>
    <rPh sb="6" eb="8">
      <t>コウセイ</t>
    </rPh>
    <phoneticPr fontId="2"/>
  </si>
  <si>
    <t>ナレッジツールとは何か？言葉の定義が不明
1.4の用語に記載する？</t>
    <rPh sb="9" eb="10">
      <t>ナニ</t>
    </rPh>
    <rPh sb="12" eb="14">
      <t>コトバ</t>
    </rPh>
    <rPh sb="15" eb="17">
      <t>テイギ</t>
    </rPh>
    <rPh sb="18" eb="20">
      <t>フメイ</t>
    </rPh>
    <rPh sb="25" eb="27">
      <t>ヨウゴ</t>
    </rPh>
    <rPh sb="28" eb="30">
      <t>キサイ</t>
    </rPh>
    <phoneticPr fontId="2"/>
  </si>
  <si>
    <t>「KEL社の再委託先であるBBSec社」とあるが、再委託先ではない。</t>
    <rPh sb="25" eb="29">
      <t>サイイタクサキ</t>
    </rPh>
    <phoneticPr fontId="2"/>
  </si>
  <si>
    <t>システムスケジュール</t>
    <phoneticPr fontId="2"/>
  </si>
  <si>
    <t>【修正中】運用設計書_SIEM導入PoC_v1.1 2.xlsx</t>
    <rPh sb="1" eb="4">
      <t>シュウセイチュウ</t>
    </rPh>
    <rPh sb="5" eb="7">
      <t>ウンヨウ</t>
    </rPh>
    <rPh sb="7" eb="10">
      <t>セッケイショ</t>
    </rPh>
    <rPh sb="15" eb="17">
      <t>ドウニュウ</t>
    </rPh>
    <phoneticPr fontId="2"/>
  </si>
  <si>
    <t>【修正中】運用設計書_SIEM導入PoC_v1.1 3.xlsx</t>
    <rPh sb="1" eb="4">
      <t>シュウセイチュウ</t>
    </rPh>
    <rPh sb="5" eb="7">
      <t>ウンヨウ</t>
    </rPh>
    <rPh sb="7" eb="10">
      <t>セッケイショ</t>
    </rPh>
    <rPh sb="15" eb="17">
      <t>ドウニュウ</t>
    </rPh>
    <phoneticPr fontId="2"/>
  </si>
  <si>
    <t>【修正中】運用設計書_SIEM導入PoC_v1.1 4.xlsx</t>
    <rPh sb="1" eb="4">
      <t>シュウセイチュウ</t>
    </rPh>
    <rPh sb="5" eb="7">
      <t>ウンヨウ</t>
    </rPh>
    <rPh sb="7" eb="10">
      <t>セッケイショ</t>
    </rPh>
    <rPh sb="15" eb="17">
      <t>ドウニュウ</t>
    </rPh>
    <phoneticPr fontId="2"/>
  </si>
  <si>
    <t>【修正中】運用設計書_SIEM導入PoC_v1.1 5.xlsx</t>
    <rPh sb="1" eb="4">
      <t>シュウセイチュウ</t>
    </rPh>
    <rPh sb="5" eb="7">
      <t>ウンヨウ</t>
    </rPh>
    <rPh sb="7" eb="10">
      <t>セッケイショ</t>
    </rPh>
    <rPh sb="15" eb="17">
      <t>ドウニュウ</t>
    </rPh>
    <phoneticPr fontId="2"/>
  </si>
  <si>
    <t>【修正中】運用設計書_SIEM導入PoC_v1.1 6.xlsx</t>
    <rPh sb="1" eb="4">
      <t>シュウセイチュウ</t>
    </rPh>
    <rPh sb="5" eb="7">
      <t>ウンヨウ</t>
    </rPh>
    <rPh sb="7" eb="10">
      <t>セッケイショ</t>
    </rPh>
    <rPh sb="15" eb="17">
      <t>ドウニュウ</t>
    </rPh>
    <phoneticPr fontId="2"/>
  </si>
  <si>
    <t>【修正中】運用設計書_SIEM導入PoC_v1.1 8.xlsx</t>
    <rPh sb="1" eb="4">
      <t>シュウセイチュウ</t>
    </rPh>
    <rPh sb="5" eb="7">
      <t>ウンヨウ</t>
    </rPh>
    <rPh sb="7" eb="10">
      <t>セッケイショ</t>
    </rPh>
    <rPh sb="15" eb="17">
      <t>ドウニュウ</t>
    </rPh>
    <phoneticPr fontId="2"/>
  </si>
  <si>
    <t>【修正中】運用設計書_SIEM導入PoC_v1.1 10.xlsx</t>
    <rPh sb="1" eb="4">
      <t>シュウセイチュウ</t>
    </rPh>
    <rPh sb="5" eb="7">
      <t>ウンヨウ</t>
    </rPh>
    <rPh sb="7" eb="10">
      <t>セッケイショ</t>
    </rPh>
    <rPh sb="15" eb="17">
      <t>ドウニュウ</t>
    </rPh>
    <phoneticPr fontId="2"/>
  </si>
  <si>
    <t>【修正中】運用設計書_SIEM導入PoC_v1.1 11.xlsx</t>
    <rPh sb="1" eb="4">
      <t>シュウセイチュウ</t>
    </rPh>
    <rPh sb="5" eb="7">
      <t>ウンヨウ</t>
    </rPh>
    <rPh sb="7" eb="10">
      <t>セッケイショ</t>
    </rPh>
    <rPh sb="15" eb="17">
      <t>ドウニュウ</t>
    </rPh>
    <phoneticPr fontId="2"/>
  </si>
  <si>
    <t>【修正中】運用設計書_SIEM導入PoC_v1.1 12.xlsx</t>
    <rPh sb="1" eb="4">
      <t>シュウセイチュウ</t>
    </rPh>
    <rPh sb="5" eb="7">
      <t>ウンヨウ</t>
    </rPh>
    <rPh sb="7" eb="10">
      <t>セッケイショ</t>
    </rPh>
    <rPh sb="15" eb="17">
      <t>ドウニュウ</t>
    </rPh>
    <phoneticPr fontId="2"/>
  </si>
  <si>
    <t>【修正中】運用設計書_SIEM導入PoC_v1.1 13.xlsx</t>
    <rPh sb="1" eb="4">
      <t>シュウセイチュウ</t>
    </rPh>
    <rPh sb="5" eb="7">
      <t>ウンヨウ</t>
    </rPh>
    <rPh sb="7" eb="10">
      <t>セッケイショ</t>
    </rPh>
    <rPh sb="15" eb="17">
      <t>ドウニュウ</t>
    </rPh>
    <phoneticPr fontId="2"/>
  </si>
  <si>
    <t>【修正中】運用設計書_SIEM導入PoC_v1.1 14.xlsx</t>
    <rPh sb="1" eb="4">
      <t>シュウセイチュウ</t>
    </rPh>
    <rPh sb="5" eb="7">
      <t>ウンヨウ</t>
    </rPh>
    <rPh sb="7" eb="10">
      <t>セッケイショ</t>
    </rPh>
    <rPh sb="15" eb="17">
      <t>ドウニュウ</t>
    </rPh>
    <phoneticPr fontId="2"/>
  </si>
  <si>
    <t>改行がおかしいので読みづらい</t>
    <rPh sb="0" eb="2">
      <t>カイギョウ</t>
    </rPh>
    <rPh sb="9" eb="10">
      <t>ヨ</t>
    </rPh>
    <phoneticPr fontId="2"/>
  </si>
  <si>
    <t>システムスケジュール
L14</t>
    <phoneticPr fontId="2"/>
  </si>
  <si>
    <t>システムスケジュール
L17～L19</t>
    <phoneticPr fontId="2"/>
  </si>
  <si>
    <t>システムスケジュール
L23</t>
    <phoneticPr fontId="2"/>
  </si>
  <si>
    <t>「ただし今後のセキュリティ運用高度化に伴い、変更(拡大)の可能性あり。」この記述は不要ではないか？変更した場合は更新されるはず
別シートで変更管理について記載した方が良いかも</t>
    <rPh sb="38" eb="40">
      <t>キジュツ</t>
    </rPh>
    <rPh sb="41" eb="43">
      <t>フヨウ</t>
    </rPh>
    <rPh sb="49" eb="51">
      <t>ヘンコウ</t>
    </rPh>
    <rPh sb="53" eb="55">
      <t>バアイ</t>
    </rPh>
    <rPh sb="56" eb="58">
      <t>コウシン</t>
    </rPh>
    <rPh sb="64" eb="65">
      <t>ベツ</t>
    </rPh>
    <rPh sb="69" eb="71">
      <t>ヘンコウ</t>
    </rPh>
    <rPh sb="71" eb="73">
      <t>カンリ</t>
    </rPh>
    <rPh sb="77" eb="79">
      <t>キサイ</t>
    </rPh>
    <rPh sb="81" eb="82">
      <t>ホウ</t>
    </rPh>
    <rPh sb="83" eb="84">
      <t>イ</t>
    </rPh>
    <phoneticPr fontId="2"/>
  </si>
  <si>
    <t>システムスケジュール 3)運用経過報告
L35</t>
    <rPh sb="13" eb="15">
      <t>ウンヨウ</t>
    </rPh>
    <rPh sb="15" eb="19">
      <t>ケイカホウコク</t>
    </rPh>
    <phoneticPr fontId="2"/>
  </si>
  <si>
    <t>運用経過報告の項なので、「直接の発注・支払・指示は行わない。」発注・支払いの記載に違和感。
「直接の指示は行わない」とした方が良い</t>
    <rPh sb="0" eb="2">
      <t>ウンヨウ</t>
    </rPh>
    <rPh sb="2" eb="4">
      <t>ケイカ</t>
    </rPh>
    <rPh sb="4" eb="6">
      <t>ホウコク</t>
    </rPh>
    <rPh sb="7" eb="8">
      <t>コウ</t>
    </rPh>
    <rPh sb="13" eb="15">
      <t>チョクセツ</t>
    </rPh>
    <rPh sb="16" eb="18">
      <t>ハッチュウ</t>
    </rPh>
    <rPh sb="19" eb="21">
      <t>シハライ</t>
    </rPh>
    <rPh sb="22" eb="24">
      <t>シジ</t>
    </rPh>
    <rPh sb="25" eb="26">
      <t>オコナ</t>
    </rPh>
    <rPh sb="31" eb="33">
      <t>ハッチュウ</t>
    </rPh>
    <rPh sb="34" eb="36">
      <t>シハラ</t>
    </rPh>
    <rPh sb="38" eb="40">
      <t>キサイ</t>
    </rPh>
    <rPh sb="41" eb="44">
      <t>イワカン</t>
    </rPh>
    <rPh sb="47" eb="49">
      <t>チョクセツ</t>
    </rPh>
    <rPh sb="50" eb="52">
      <t>シジ</t>
    </rPh>
    <rPh sb="53" eb="54">
      <t>オコナ</t>
    </rPh>
    <rPh sb="61" eb="62">
      <t>ホウ</t>
    </rPh>
    <rPh sb="63" eb="64">
      <t>ヨ</t>
    </rPh>
    <phoneticPr fontId="2"/>
  </si>
  <si>
    <t>システムスケジュール 4)納品物
L41～42</t>
    <rPh sb="13" eb="16">
      <t>ノウヒンブツ</t>
    </rPh>
    <phoneticPr fontId="2"/>
  </si>
  <si>
    <t>「当社は、報告の内容が自社にとって不利な内容であるとの見地から納品物の受領を拒否しない。」という記述があるが、契約条件であって、運用設計書に記載する内容ではないと思う。L42も同様</t>
    <rPh sb="48" eb="50">
      <t>キジュツ</t>
    </rPh>
    <rPh sb="55" eb="57">
      <t>ケイヤク</t>
    </rPh>
    <rPh sb="57" eb="59">
      <t>ジョウケン</t>
    </rPh>
    <rPh sb="64" eb="69">
      <t>ウンヨウセッケイショ</t>
    </rPh>
    <rPh sb="70" eb="72">
      <t>キサイ</t>
    </rPh>
    <rPh sb="74" eb="76">
      <t>ナイヨウ</t>
    </rPh>
    <rPh sb="81" eb="82">
      <t>オモ</t>
    </rPh>
    <rPh sb="88" eb="90">
      <t>ドウヨウ</t>
    </rPh>
    <phoneticPr fontId="2"/>
  </si>
  <si>
    <t>システムスケジュール
L47</t>
    <phoneticPr fontId="2"/>
  </si>
  <si>
    <t>システムスケジュール
L49</t>
    <phoneticPr fontId="2"/>
  </si>
  <si>
    <t>月次レポート送付先とあるが、送付されるのか？
自身でポータルを参照するように書かれていたと思われる</t>
    <rPh sb="0" eb="2">
      <t>ゲツジ</t>
    </rPh>
    <rPh sb="6" eb="8">
      <t>ソウフ</t>
    </rPh>
    <rPh sb="8" eb="9">
      <t>サキ</t>
    </rPh>
    <rPh sb="14" eb="16">
      <t>ソウフ</t>
    </rPh>
    <rPh sb="23" eb="25">
      <t>ジシン</t>
    </rPh>
    <rPh sb="31" eb="33">
      <t>サンショウ</t>
    </rPh>
    <rPh sb="38" eb="39">
      <t>カ</t>
    </rPh>
    <rPh sb="45" eb="46">
      <t>オモ</t>
    </rPh>
    <phoneticPr fontId="2"/>
  </si>
  <si>
    <t>「再委託先：BBSec」とあるが、再委託先ではない。</t>
    <rPh sb="17" eb="21">
      <t>サイイタクサキ</t>
    </rPh>
    <phoneticPr fontId="2"/>
  </si>
  <si>
    <t>一次対応はBBSecとあるが、二次対応は誰が実施するのか？</t>
    <rPh sb="0" eb="4">
      <t>イチジタイオウ</t>
    </rPh>
    <rPh sb="15" eb="19">
      <t>ニジタイオウ</t>
    </rPh>
    <rPh sb="20" eb="21">
      <t>ダレ</t>
    </rPh>
    <rPh sb="22" eb="24">
      <t>ジッシ</t>
    </rPh>
    <phoneticPr fontId="2"/>
  </si>
  <si>
    <t>すごく細かいが、運用体制図とL64の記載が異なる。社内SOC担当（情報システム部）、セキュリティ管理担当（サイバーセキュリティ推進部）</t>
    <rPh sb="3" eb="4">
      <t>コマ</t>
    </rPh>
    <rPh sb="8" eb="10">
      <t>ウンヨウ</t>
    </rPh>
    <rPh sb="10" eb="13">
      <t>タイセイズ</t>
    </rPh>
    <rPh sb="18" eb="20">
      <t>キサイ</t>
    </rPh>
    <rPh sb="21" eb="22">
      <t>コト</t>
    </rPh>
    <phoneticPr fontId="2"/>
  </si>
  <si>
    <t>運用体制図と図で貼っている体制図の違いがよく分からない。一つに纏められないか？
分けるのであれば、2つ目は社内体制と分かるように記載すること</t>
    <rPh sb="0" eb="2">
      <t>ウンヨウ</t>
    </rPh>
    <rPh sb="2" eb="5">
      <t>タイセイズ</t>
    </rPh>
    <rPh sb="6" eb="7">
      <t>ズ</t>
    </rPh>
    <rPh sb="8" eb="9">
      <t>ハ</t>
    </rPh>
    <rPh sb="13" eb="16">
      <t>タイセイズ</t>
    </rPh>
    <rPh sb="17" eb="18">
      <t>チガ</t>
    </rPh>
    <rPh sb="22" eb="23">
      <t>ワ</t>
    </rPh>
    <rPh sb="28" eb="29">
      <t>ヒト</t>
    </rPh>
    <rPh sb="31" eb="32">
      <t>マト</t>
    </rPh>
    <rPh sb="40" eb="41">
      <t>ワ</t>
    </rPh>
    <rPh sb="51" eb="52">
      <t>メ</t>
    </rPh>
    <rPh sb="53" eb="55">
      <t>シャナイ</t>
    </rPh>
    <rPh sb="55" eb="57">
      <t>タイセイ</t>
    </rPh>
    <rPh sb="58" eb="59">
      <t>ワ</t>
    </rPh>
    <rPh sb="64" eb="66">
      <t>キサイ</t>
    </rPh>
    <phoneticPr fontId="2"/>
  </si>
  <si>
    <t>運用体制図</t>
    <rPh sb="0" eb="2">
      <t>ウンヨウ</t>
    </rPh>
    <rPh sb="2" eb="4">
      <t>タイセイ</t>
    </rPh>
    <rPh sb="4" eb="5">
      <t>ズ</t>
    </rPh>
    <phoneticPr fontId="2"/>
  </si>
  <si>
    <t>運用体制図
L64</t>
    <phoneticPr fontId="2"/>
  </si>
  <si>
    <t>運用体制図
体制図</t>
    <rPh sb="0" eb="2">
      <t>ウンヨウ</t>
    </rPh>
    <rPh sb="2" eb="4">
      <t>タイセイ</t>
    </rPh>
    <rPh sb="4" eb="5">
      <t>ズ</t>
    </rPh>
    <rPh sb="6" eb="9">
      <t>タイセイズ</t>
    </rPh>
    <phoneticPr fontId="2"/>
  </si>
  <si>
    <t>運用体制</t>
    <phoneticPr fontId="2"/>
  </si>
  <si>
    <t>システムオーナーは情報システム部とあるが、情報システム部長ではないのか？</t>
    <rPh sb="9" eb="11">
      <t>ジョウホウ</t>
    </rPh>
    <rPh sb="15" eb="16">
      <t>ブ</t>
    </rPh>
    <rPh sb="21" eb="23">
      <t>ジョウホウ</t>
    </rPh>
    <rPh sb="27" eb="29">
      <t>ブチョウ</t>
    </rPh>
    <phoneticPr fontId="2"/>
  </si>
  <si>
    <t xml:space="preserve">運用体制図と運用体制の説明が合っていない。
合わせるべき。全体を見直すこと
Ex)保守支援担当が図にはない
</t>
    <rPh sb="0" eb="2">
      <t>ウンヨウ</t>
    </rPh>
    <rPh sb="2" eb="5">
      <t>タイセイズ</t>
    </rPh>
    <rPh sb="6" eb="10">
      <t>ウンヨウタイセイ</t>
    </rPh>
    <rPh sb="11" eb="13">
      <t>セツメイ</t>
    </rPh>
    <rPh sb="14" eb="15">
      <t>ア</t>
    </rPh>
    <rPh sb="22" eb="23">
      <t>ア</t>
    </rPh>
    <rPh sb="29" eb="31">
      <t>ゼンタイ</t>
    </rPh>
    <rPh sb="32" eb="34">
      <t>ミナオ</t>
    </rPh>
    <rPh sb="41" eb="45">
      <t>ホシュシエン</t>
    </rPh>
    <rPh sb="45" eb="47">
      <t>タントウ</t>
    </rPh>
    <rPh sb="48" eb="49">
      <t>ズ</t>
    </rPh>
    <phoneticPr fontId="2"/>
  </si>
  <si>
    <t xml:space="preserve">「※設計書段階では、「情報システム部」とするが、手順書では役割をもう少し明確にしてグループ名まで記載する」とあるが、何のための設計書なのか？
運用を誰が実施するかを明確にするのが運用設計書
</t>
    <rPh sb="58" eb="59">
      <t>ナン</t>
    </rPh>
    <rPh sb="63" eb="66">
      <t>セッケイショ</t>
    </rPh>
    <rPh sb="71" eb="73">
      <t>ウンヨウ</t>
    </rPh>
    <rPh sb="74" eb="75">
      <t>ダレ</t>
    </rPh>
    <rPh sb="76" eb="78">
      <t>ジッシ</t>
    </rPh>
    <rPh sb="82" eb="84">
      <t>メイカク</t>
    </rPh>
    <rPh sb="89" eb="94">
      <t>ウンヨウセッケイショ</t>
    </rPh>
    <phoneticPr fontId="2"/>
  </si>
  <si>
    <t>責任分界</t>
    <rPh sb="0" eb="4">
      <t>セキニンブンカイ</t>
    </rPh>
    <phoneticPr fontId="2"/>
  </si>
  <si>
    <t>前述でも指摘したが、「KEL社の再委託先」ではない。あえて書くのであれば、「KEL社の委託先」
再委託は当社から見たときの表現。</t>
    <rPh sb="0" eb="2">
      <t>ゼンジュツ</t>
    </rPh>
    <rPh sb="4" eb="6">
      <t>シテキ</t>
    </rPh>
    <rPh sb="29" eb="30">
      <t>カ</t>
    </rPh>
    <rPh sb="41" eb="42">
      <t>シャ</t>
    </rPh>
    <rPh sb="43" eb="46">
      <t>イタクサキ</t>
    </rPh>
    <rPh sb="48" eb="51">
      <t>サイイタク</t>
    </rPh>
    <rPh sb="52" eb="54">
      <t>トウシャ</t>
    </rPh>
    <rPh sb="56" eb="57">
      <t>ミ</t>
    </rPh>
    <rPh sb="61" eb="63">
      <t>ヒョウゲン</t>
    </rPh>
    <phoneticPr fontId="2"/>
  </si>
  <si>
    <t>別紙「責任分界表」（KEL社修正版）が正式名称なのか？変更すべき</t>
    <rPh sb="19" eb="23">
      <t>セイシキメイショウ</t>
    </rPh>
    <rPh sb="27" eb="29">
      <t>ヘンコウ</t>
    </rPh>
    <phoneticPr fontId="2"/>
  </si>
  <si>
    <t>「KEL社修正版では」という記載はおかしい。
不要では？</t>
    <rPh sb="14" eb="16">
      <t>キサイ</t>
    </rPh>
    <rPh sb="23" eb="25">
      <t>フヨウ</t>
    </rPh>
    <phoneticPr fontId="2"/>
  </si>
  <si>
    <t>責任分界
L100</t>
    <rPh sb="0" eb="4">
      <t>セキニンブンカイ</t>
    </rPh>
    <phoneticPr fontId="2"/>
  </si>
  <si>
    <t>責任分界
L10１</t>
    <rPh sb="0" eb="4">
      <t>セキニンブンカイ</t>
    </rPh>
    <phoneticPr fontId="2"/>
  </si>
  <si>
    <t>責任分界
L103</t>
    <rPh sb="0" eb="4">
      <t>セキニンブンカイ</t>
    </rPh>
    <phoneticPr fontId="2"/>
  </si>
  <si>
    <t>No34と同じ。「KEL社が支援とされている。」</t>
    <rPh sb="5" eb="6">
      <t>オナ</t>
    </rPh>
    <phoneticPr fontId="2"/>
  </si>
  <si>
    <t>「主担当（KEL社は実作業なし）とされている。」という記述が他人事に読める。そのように決めたのでは？</t>
    <rPh sb="27" eb="29">
      <t>キジュツ</t>
    </rPh>
    <rPh sb="30" eb="33">
      <t>ヒトゴト</t>
    </rPh>
    <rPh sb="34" eb="35">
      <t>ヨ</t>
    </rPh>
    <rPh sb="43" eb="44">
      <t>キ</t>
    </rPh>
    <phoneticPr fontId="2"/>
  </si>
  <si>
    <t>「監視対象の追加・変更およびログ量の実績監視・最適化の責任主体は、当社作成版の「当社」からKEL社修正版では「KEL社」」
なぜ、運用設計書に、変更履歴を書く必要があるのか？
運用設計書は決まったことを書くだけ</t>
    <rPh sb="65" eb="67">
      <t>ウンヨウ</t>
    </rPh>
    <rPh sb="67" eb="69">
      <t>セッケイ</t>
    </rPh>
    <rPh sb="69" eb="70">
      <t>ショ</t>
    </rPh>
    <rPh sb="72" eb="76">
      <t>ヘンコウリレキ</t>
    </rPh>
    <rPh sb="77" eb="78">
      <t>カ</t>
    </rPh>
    <rPh sb="79" eb="81">
      <t>ヒツヨウ</t>
    </rPh>
    <rPh sb="88" eb="90">
      <t>ウンヨウ</t>
    </rPh>
    <phoneticPr fontId="2"/>
  </si>
  <si>
    <t>責任分界
L104～105</t>
    <rPh sb="0" eb="4">
      <t>セキニンブンカイ</t>
    </rPh>
    <phoneticPr fontId="2"/>
  </si>
  <si>
    <t>責任分界
L114～122</t>
    <rPh sb="0" eb="4">
      <t>セキニンブンカイ</t>
    </rPh>
    <phoneticPr fontId="2"/>
  </si>
  <si>
    <t>No.3とNo.11は何が違うのか？</t>
    <rPh sb="11" eb="12">
      <t>ナニ</t>
    </rPh>
    <rPh sb="13" eb="14">
      <t>チガ</t>
    </rPh>
    <phoneticPr fontId="2"/>
  </si>
  <si>
    <t>委託先管理とは何か？</t>
    <rPh sb="0" eb="3">
      <t>イタクサキ</t>
    </rPh>
    <rPh sb="3" eb="5">
      <t>カンリ</t>
    </rPh>
    <rPh sb="7" eb="8">
      <t>ナニ</t>
    </rPh>
    <phoneticPr fontId="2"/>
  </si>
  <si>
    <t>定常オペレーション</t>
    <rPh sb="0" eb="2">
      <t>テイジョウ</t>
    </rPh>
    <phoneticPr fontId="2"/>
  </si>
  <si>
    <t>実施しないオペレーションを記載する必要があるか？
・媒体交換運用
・時刻同期運用</t>
    <rPh sb="0" eb="2">
      <t>ジッシ</t>
    </rPh>
    <rPh sb="13" eb="15">
      <t>キサイ</t>
    </rPh>
    <rPh sb="17" eb="19">
      <t>ヒツヨウ</t>
    </rPh>
    <rPh sb="26" eb="30">
      <t>バイタイコウカン</t>
    </rPh>
    <rPh sb="30" eb="32">
      <t>ウンヨウ</t>
    </rPh>
    <rPh sb="34" eb="40">
      <t>ジコクドウキウンヨウ</t>
    </rPh>
    <phoneticPr fontId="2"/>
  </si>
  <si>
    <t xml:space="preserve">定常オペレーション一覧にある以下オペレーションが無い。逆にチューニング運用、レポート受領・報告が一覧にない。
　・レポート作成
　・ログ量実績確認
　・チケット・ダッシュボード確認
　・脅威情報の確認
　・マネージメント向け定例報告
非定常オペレーション一覧のように、１つの表でまとめた方が良いのではないか？
</t>
    <rPh sb="0" eb="2">
      <t>テイジョウ</t>
    </rPh>
    <rPh sb="9" eb="11">
      <t>イチラン</t>
    </rPh>
    <rPh sb="14" eb="16">
      <t>イカ</t>
    </rPh>
    <rPh sb="24" eb="25">
      <t>ナ</t>
    </rPh>
    <rPh sb="27" eb="28">
      <t>ギャク</t>
    </rPh>
    <rPh sb="35" eb="37">
      <t>ウンヨウ</t>
    </rPh>
    <rPh sb="48" eb="50">
      <t>イチラン</t>
    </rPh>
    <rPh sb="118" eb="121">
      <t>ヒテイジョウ</t>
    </rPh>
    <rPh sb="128" eb="130">
      <t>イチラン</t>
    </rPh>
    <rPh sb="138" eb="139">
      <t>ヒョウ</t>
    </rPh>
    <rPh sb="144" eb="145">
      <t>ホウ</t>
    </rPh>
    <rPh sb="146" eb="147">
      <t>ヨ</t>
    </rPh>
    <phoneticPr fontId="2"/>
  </si>
  <si>
    <t xml:space="preserve">「報告されたCaseの追加調査は平日日中帯にBBSec社へ依頼できる。」できるではなく、オペレーション概要なので、「依頼する」
</t>
    <rPh sb="51" eb="53">
      <t>ガイヨウ</t>
    </rPh>
    <rPh sb="58" eb="60">
      <t>イライ</t>
    </rPh>
    <phoneticPr fontId="2"/>
  </si>
  <si>
    <t>非定常オペレーション
インシデント二次対応</t>
    <rPh sb="0" eb="3">
      <t>ヒテイジョウ</t>
    </rPh>
    <rPh sb="17" eb="21">
      <t>ニジタイオウ</t>
    </rPh>
    <phoneticPr fontId="2"/>
  </si>
  <si>
    <t>初動対応実施条件</t>
    <rPh sb="0" eb="2">
      <t>ショドウ</t>
    </rPh>
    <rPh sb="2" eb="4">
      <t>タイオウ</t>
    </rPh>
    <rPh sb="4" eb="6">
      <t>ジッシ</t>
    </rPh>
    <rPh sb="6" eb="8">
      <t>ジョウケン</t>
    </rPh>
    <phoneticPr fontId="2"/>
  </si>
  <si>
    <t xml:space="preserve">「BBSec社が初動対応（ホスト隔離・通信遮断・アカウント無効化等）を実施する条件は、KMS-XDRサービス提供条件書 Ver.1.0.0では未定義である。※実施可否は当社が判断する方針のため未定義とされた。以下はVer.0.1.0に記載されていた条件であり、参考として残す。運用開始時には有効化しない事で合意。」と書かれているが、その下の表には条件が書かれていて矛盾していないか？
</t>
    <rPh sb="158" eb="159">
      <t>カ</t>
    </rPh>
    <rPh sb="168" eb="169">
      <t>シタ</t>
    </rPh>
    <rPh sb="170" eb="171">
      <t>ヒョウ</t>
    </rPh>
    <rPh sb="173" eb="175">
      <t>ジョウケン</t>
    </rPh>
    <rPh sb="176" eb="177">
      <t>カ</t>
    </rPh>
    <rPh sb="182" eb="184">
      <t>ムジュン</t>
    </rPh>
    <phoneticPr fontId="2"/>
  </si>
  <si>
    <t>L52～L56</t>
    <phoneticPr fontId="2"/>
  </si>
  <si>
    <t>アカウントの増減により、運用設計書の記載を変更しなければならないことは書かない。</t>
    <rPh sb="6" eb="8">
      <t>ゾウゲン</t>
    </rPh>
    <rPh sb="12" eb="17">
      <t>ウンヨウセッケイショ</t>
    </rPh>
    <rPh sb="18" eb="20">
      <t>キサイ</t>
    </rPh>
    <rPh sb="21" eb="23">
      <t>ヘンコウ</t>
    </rPh>
    <rPh sb="35" eb="36">
      <t>カ</t>
    </rPh>
    <phoneticPr fontId="2"/>
  </si>
  <si>
    <t>構成情報管理概念図とあるが図が存在しない。</t>
    <phoneticPr fontId="2"/>
  </si>
  <si>
    <t>L37</t>
    <phoneticPr fontId="2"/>
  </si>
  <si>
    <t>構成管理項目は、いつ、だれが行うのか、表に記載すること。（分かりづらい）</t>
    <rPh sb="0" eb="4">
      <t>コウセイカンリ</t>
    </rPh>
    <rPh sb="4" eb="6">
      <t>コウモク</t>
    </rPh>
    <rPh sb="14" eb="15">
      <t>オコナ</t>
    </rPh>
    <rPh sb="19" eb="20">
      <t>ヒョウ</t>
    </rPh>
    <rPh sb="21" eb="23">
      <t>キサイ</t>
    </rPh>
    <rPh sb="29" eb="30">
      <t>ワ</t>
    </rPh>
    <phoneticPr fontId="2"/>
  </si>
  <si>
    <t>変更依頼履歴管理概念図がない。</t>
    <rPh sb="0" eb="4">
      <t>ヘンコウイライ</t>
    </rPh>
    <rPh sb="4" eb="8">
      <t>リレキカンリ</t>
    </rPh>
    <rPh sb="8" eb="11">
      <t>ガイネンズ</t>
    </rPh>
    <phoneticPr fontId="2"/>
  </si>
  <si>
    <t>変更管理
L64</t>
    <rPh sb="0" eb="4">
      <t>ヘンコウカンリ</t>
    </rPh>
    <phoneticPr fontId="2"/>
  </si>
  <si>
    <t>変更管理</t>
    <rPh sb="0" eb="4">
      <t>ヘンコウカンリ</t>
    </rPh>
    <phoneticPr fontId="2"/>
  </si>
  <si>
    <t>ここは表にしないのか？</t>
    <rPh sb="3" eb="4">
      <t>ヒョウ</t>
    </rPh>
    <phoneticPr fontId="2"/>
  </si>
  <si>
    <t>障害管理</t>
    <rPh sb="0" eb="2">
      <t>ショウガイ</t>
    </rPh>
    <rPh sb="2" eb="4">
      <t>カンリ</t>
    </rPh>
    <phoneticPr fontId="2"/>
  </si>
  <si>
    <t>障害情報管理概念図がない。</t>
    <rPh sb="0" eb="2">
      <t>ショウガイ</t>
    </rPh>
    <rPh sb="2" eb="4">
      <t>ジョウホウ</t>
    </rPh>
    <rPh sb="4" eb="6">
      <t>カンリ</t>
    </rPh>
    <rPh sb="6" eb="9">
      <t>ガイネンズ</t>
    </rPh>
    <phoneticPr fontId="2"/>
  </si>
  <si>
    <t>障害管理
L99</t>
    <rPh sb="0" eb="2">
      <t>ショウガイ</t>
    </rPh>
    <rPh sb="2" eb="4">
      <t>カンリ</t>
    </rPh>
    <phoneticPr fontId="2"/>
  </si>
  <si>
    <t>概要：暫定対応結果ではないのか？</t>
    <rPh sb="0" eb="2">
      <t>ガイヨウ</t>
    </rPh>
    <rPh sb="3" eb="7">
      <t>ザンテイタイオウ</t>
    </rPh>
    <rPh sb="7" eb="9">
      <t>ケッカ</t>
    </rPh>
    <phoneticPr fontId="2"/>
  </si>
  <si>
    <t>障害管理
L102</t>
    <rPh sb="0" eb="2">
      <t>ショウガイ</t>
    </rPh>
    <rPh sb="2" eb="4">
      <t>カンリ</t>
    </rPh>
    <phoneticPr fontId="2"/>
  </si>
  <si>
    <t>対応者：「障害対応実施」はおかしい</t>
    <rPh sb="0" eb="2">
      <t>タイオウ</t>
    </rPh>
    <rPh sb="2" eb="3">
      <t>シャ</t>
    </rPh>
    <rPh sb="5" eb="7">
      <t>ショウガイ</t>
    </rPh>
    <rPh sb="7" eb="9">
      <t>タイオウ</t>
    </rPh>
    <rPh sb="9" eb="11">
      <t>ジッシ</t>
    </rPh>
    <phoneticPr fontId="2"/>
  </si>
  <si>
    <t>そもそもなんだけど、障害管理なのか？書かれている内容は問題管理の気がするが</t>
    <rPh sb="10" eb="12">
      <t>ショウガイ</t>
    </rPh>
    <rPh sb="12" eb="14">
      <t>カンリ</t>
    </rPh>
    <rPh sb="18" eb="19">
      <t>カ</t>
    </rPh>
    <rPh sb="24" eb="26">
      <t>ナイヨウ</t>
    </rPh>
    <rPh sb="27" eb="31">
      <t>モンダイカンリ</t>
    </rPh>
    <rPh sb="32" eb="33">
      <t>キ</t>
    </rPh>
    <phoneticPr fontId="2"/>
  </si>
  <si>
    <t>SOC分析参考情報の管理</t>
    <rPh sb="3" eb="5">
      <t>ブンセキ</t>
    </rPh>
    <rPh sb="5" eb="9">
      <t>サンコウジョウホウ</t>
    </rPh>
    <rPh sb="10" eb="12">
      <t>カンリ</t>
    </rPh>
    <phoneticPr fontId="2"/>
  </si>
  <si>
    <t>箇条書きで読みづらい。表にまとめた方がよい</t>
    <rPh sb="0" eb="3">
      <t>カジョウガ</t>
    </rPh>
    <rPh sb="5" eb="6">
      <t>ヨ</t>
    </rPh>
    <rPh sb="11" eb="12">
      <t>ヒョウ</t>
    </rPh>
    <rPh sb="17" eb="18">
      <t>ホウ</t>
    </rPh>
    <phoneticPr fontId="2"/>
  </si>
  <si>
    <t>運用設計書はSIEMの運用に関する設計を記載するもので、契約云々の話が書かれていることに違和感を感じる</t>
    <rPh sb="0" eb="5">
      <t>ウンヨウセッケイショ</t>
    </rPh>
    <rPh sb="11" eb="13">
      <t>ウンヨウ</t>
    </rPh>
    <rPh sb="14" eb="15">
      <t>カン</t>
    </rPh>
    <rPh sb="17" eb="19">
      <t>セッケイ</t>
    </rPh>
    <rPh sb="20" eb="22">
      <t>キサイ</t>
    </rPh>
    <rPh sb="28" eb="30">
      <t>ケイヤク</t>
    </rPh>
    <rPh sb="30" eb="32">
      <t>ウンヌン</t>
    </rPh>
    <rPh sb="33" eb="34">
      <t>ハナシ</t>
    </rPh>
    <rPh sb="35" eb="36">
      <t>カ</t>
    </rPh>
    <rPh sb="44" eb="47">
      <t>イワカン</t>
    </rPh>
    <rPh sb="48" eb="49">
      <t>カン</t>
    </rPh>
    <phoneticPr fontId="2"/>
  </si>
  <si>
    <t>運用管理
2.契約管理</t>
    <rPh sb="0" eb="2">
      <t>ウンヨウ</t>
    </rPh>
    <rPh sb="2" eb="4">
      <t>カンリ</t>
    </rPh>
    <rPh sb="7" eb="9">
      <t>ケイヤク</t>
    </rPh>
    <rPh sb="9" eb="11">
      <t>カンリ</t>
    </rPh>
    <phoneticPr fontId="2"/>
  </si>
  <si>
    <t>アプリケーション保守</t>
    <rPh sb="8" eb="10">
      <t>ホシュ</t>
    </rPh>
    <phoneticPr fontId="2"/>
  </si>
  <si>
    <t>アプリケーションとして書かれているが、実際はログ収集ポリシーだとかであり、タイトルがおかしくないか？</t>
    <rPh sb="11" eb="12">
      <t>カ</t>
    </rPh>
    <rPh sb="19" eb="21">
      <t>ジッサイ</t>
    </rPh>
    <rPh sb="24" eb="26">
      <t>シュウシュウ</t>
    </rPh>
    <phoneticPr fontId="2"/>
  </si>
  <si>
    <t>本番移行</t>
    <rPh sb="0" eb="4">
      <t>ホンバンイコウ</t>
    </rPh>
    <phoneticPr fontId="2"/>
  </si>
  <si>
    <t>「本番移行」というタイトルがおかしくないか？
運用設計に記載されるのはリリース後の運用であり、PoCからの移行は関係が無い。</t>
    <rPh sb="1" eb="3">
      <t>ホンバン</t>
    </rPh>
    <rPh sb="3" eb="5">
      <t>イコウ</t>
    </rPh>
    <rPh sb="23" eb="25">
      <t>ウンヨウ</t>
    </rPh>
    <rPh sb="25" eb="27">
      <t>セッケイ</t>
    </rPh>
    <rPh sb="28" eb="30">
      <t>キサイ</t>
    </rPh>
    <rPh sb="39" eb="40">
      <t>ゴ</t>
    </rPh>
    <rPh sb="41" eb="43">
      <t>ウンヨウ</t>
    </rPh>
    <rPh sb="53" eb="55">
      <t>イコウ</t>
    </rPh>
    <rPh sb="56" eb="58">
      <t>カンケイ</t>
    </rPh>
    <rPh sb="59" eb="60">
      <t>ナ</t>
    </rPh>
    <phoneticPr fontId="2"/>
  </si>
  <si>
    <t>L24</t>
    <phoneticPr fontId="2"/>
  </si>
  <si>
    <t>ユーザーから運用担当への問い合わせとあるが、ユーザーとは何を差しているのかが不明</t>
    <rPh sb="6" eb="8">
      <t>ウンヨウ</t>
    </rPh>
    <rPh sb="8" eb="10">
      <t>タントウ</t>
    </rPh>
    <rPh sb="12" eb="13">
      <t>ト</t>
    </rPh>
    <rPh sb="14" eb="15">
      <t>ア</t>
    </rPh>
    <rPh sb="28" eb="29">
      <t>ナニ</t>
    </rPh>
    <rPh sb="30" eb="31">
      <t>サ</t>
    </rPh>
    <rPh sb="38" eb="40">
      <t>フメイ</t>
    </rPh>
    <phoneticPr fontId="2"/>
  </si>
  <si>
    <t>L15～L23</t>
    <phoneticPr fontId="2"/>
  </si>
  <si>
    <t>読みづらい。箇条書きとするのであれば、インデントを一段下げるなど工夫すること。
そもそも、サービス提供条件書に記載がある内容であれば、それを参照とすればよいのではないか？</t>
    <rPh sb="0" eb="1">
      <t>ヨ</t>
    </rPh>
    <rPh sb="6" eb="9">
      <t>カジョウガ</t>
    </rPh>
    <rPh sb="25" eb="27">
      <t>イチダン</t>
    </rPh>
    <rPh sb="27" eb="28">
      <t>サ</t>
    </rPh>
    <rPh sb="32" eb="34">
      <t>クフウ</t>
    </rPh>
    <rPh sb="49" eb="51">
      <t>テイキョウ</t>
    </rPh>
    <rPh sb="51" eb="54">
      <t>ジョウケンショ</t>
    </rPh>
    <rPh sb="55" eb="57">
      <t>キサイ</t>
    </rPh>
    <rPh sb="60" eb="62">
      <t>ナイヨウ</t>
    </rPh>
    <rPh sb="70" eb="72">
      <t>サンショウ</t>
    </rPh>
    <phoneticPr fontId="2"/>
  </si>
  <si>
    <t>1)障害検知による障害対応</t>
    <rPh sb="2" eb="4">
      <t>ショウガイ</t>
    </rPh>
    <rPh sb="4" eb="6">
      <t>ケンチ</t>
    </rPh>
    <rPh sb="9" eb="11">
      <t>ショウガイ</t>
    </rPh>
    <rPh sb="11" eb="13">
      <t>タイオウ</t>
    </rPh>
    <phoneticPr fontId="2"/>
  </si>
  <si>
    <t>アプリケーションベンダーという言葉が出てきたが、これは何か？言葉の定義はしっかりとすること</t>
    <rPh sb="15" eb="17">
      <t>コトバ</t>
    </rPh>
    <rPh sb="18" eb="19">
      <t>デ</t>
    </rPh>
    <rPh sb="27" eb="28">
      <t>ナニ</t>
    </rPh>
    <rPh sb="30" eb="32">
      <t>コトバ</t>
    </rPh>
    <rPh sb="33" eb="35">
      <t>テイギ</t>
    </rPh>
    <phoneticPr fontId="2"/>
  </si>
  <si>
    <t>・タイトルが障害対応となっているが、記載されているのが障害対応ではなく、体制図である。
タイトルと内容があっていない</t>
    <rPh sb="6" eb="8">
      <t>ショウガイ</t>
    </rPh>
    <rPh sb="8" eb="10">
      <t>タイオウ</t>
    </rPh>
    <rPh sb="18" eb="20">
      <t>キサイ</t>
    </rPh>
    <rPh sb="27" eb="29">
      <t>ショウガイ</t>
    </rPh>
    <rPh sb="29" eb="31">
      <t>タイオウ</t>
    </rPh>
    <rPh sb="36" eb="39">
      <t>タイセイズ</t>
    </rPh>
    <rPh sb="49" eb="51">
      <t>ナイヨウ</t>
    </rPh>
    <phoneticPr fontId="2"/>
  </si>
  <si>
    <t>障害対応工程にある、④障害連絡を受けるユーザとは何か？定義されていない。
その他、〇〇担当など登場人物はしっかりと運用体制なりで定義すること</t>
    <rPh sb="0" eb="2">
      <t>ショウガイ</t>
    </rPh>
    <rPh sb="2" eb="4">
      <t>タイオウ</t>
    </rPh>
    <rPh sb="4" eb="6">
      <t>コウテイ</t>
    </rPh>
    <rPh sb="11" eb="13">
      <t>ショウガイ</t>
    </rPh>
    <rPh sb="13" eb="15">
      <t>レンラク</t>
    </rPh>
    <rPh sb="16" eb="17">
      <t>ウ</t>
    </rPh>
    <rPh sb="24" eb="25">
      <t>ナニ</t>
    </rPh>
    <rPh sb="27" eb="29">
      <t>テイギ</t>
    </rPh>
    <rPh sb="39" eb="40">
      <t>タ</t>
    </rPh>
    <rPh sb="43" eb="45">
      <t>タントウ</t>
    </rPh>
    <rPh sb="47" eb="51">
      <t>トウジョウジンブツ</t>
    </rPh>
    <rPh sb="57" eb="59">
      <t>ウンヨウ</t>
    </rPh>
    <rPh sb="59" eb="61">
      <t>タイセイ</t>
    </rPh>
    <rPh sb="64" eb="66">
      <t>テイギ</t>
    </rPh>
    <phoneticPr fontId="2"/>
  </si>
  <si>
    <t>障害発生連絡を受け、ベンダーへ連絡が無いのは何故か？一次対応がなく、二次対応のみ</t>
    <rPh sb="0" eb="2">
      <t>ショウガイ</t>
    </rPh>
    <rPh sb="2" eb="6">
      <t>ハッセイレンラク</t>
    </rPh>
    <rPh sb="7" eb="8">
      <t>ウ</t>
    </rPh>
    <rPh sb="15" eb="17">
      <t>レンラク</t>
    </rPh>
    <rPh sb="18" eb="19">
      <t>ナ</t>
    </rPh>
    <rPh sb="22" eb="24">
      <t>ナゼ</t>
    </rPh>
    <rPh sb="26" eb="30">
      <t>イチジタイオウ</t>
    </rPh>
    <rPh sb="34" eb="38">
      <t>ニジタイオウ</t>
    </rPh>
    <phoneticPr fontId="2"/>
  </si>
  <si>
    <t>PDは発動しないのか？</t>
    <rPh sb="3" eb="5">
      <t>ハツドウ</t>
    </rPh>
    <phoneticPr fontId="2"/>
  </si>
  <si>
    <t>2)ユーザ障害検知による障害対応</t>
    <rPh sb="5" eb="9">
      <t>ショウガイケンチ</t>
    </rPh>
    <rPh sb="12" eb="14">
      <t>ショウガイ</t>
    </rPh>
    <rPh sb="14" eb="16">
      <t>タイオウ</t>
    </rPh>
    <phoneticPr fontId="2"/>
  </si>
  <si>
    <t>システム利用ユーザとは誰を差しているのか？</t>
    <rPh sb="4" eb="6">
      <t>リヨウ</t>
    </rPh>
    <rPh sb="11" eb="12">
      <t>ダレ</t>
    </rPh>
    <rPh sb="13" eb="14">
      <t>サ</t>
    </rPh>
    <phoneticPr fontId="2"/>
  </si>
  <si>
    <t>システム利用ユーザによる検知をトリガーとしているのに、前述の障害検知によるフロート同じである。</t>
    <rPh sb="4" eb="6">
      <t>リヨウ</t>
    </rPh>
    <rPh sb="12" eb="14">
      <t>ケンチ</t>
    </rPh>
    <rPh sb="27" eb="29">
      <t>ゼンジュツ</t>
    </rPh>
    <rPh sb="30" eb="32">
      <t>ショウガイ</t>
    </rPh>
    <rPh sb="32" eb="34">
      <t>ケンチ</t>
    </rPh>
    <rPh sb="41" eb="42">
      <t>オナ</t>
    </rPh>
    <phoneticPr fontId="2"/>
  </si>
  <si>
    <t>障害管理</t>
    <rPh sb="0" eb="4">
      <t>ショウガイカンリ</t>
    </rPh>
    <phoneticPr fontId="2"/>
  </si>
  <si>
    <t>6.3に障害管理があるが、この11章の障害管理と何が違うのか？それぞれの章で何を言いたいのかが良くわからない</t>
    <rPh sb="4" eb="6">
      <t>ショウガイ</t>
    </rPh>
    <rPh sb="6" eb="8">
      <t>カンリ</t>
    </rPh>
    <rPh sb="17" eb="18">
      <t>ショウ</t>
    </rPh>
    <rPh sb="19" eb="21">
      <t>ショウガイ</t>
    </rPh>
    <rPh sb="21" eb="23">
      <t>カンリ</t>
    </rPh>
    <rPh sb="24" eb="25">
      <t>ナニ</t>
    </rPh>
    <rPh sb="26" eb="27">
      <t>チガ</t>
    </rPh>
    <rPh sb="36" eb="37">
      <t>ショウ</t>
    </rPh>
    <rPh sb="38" eb="39">
      <t>ナニ</t>
    </rPh>
    <rPh sb="40" eb="41">
      <t>イ</t>
    </rPh>
    <rPh sb="47" eb="48">
      <t>ヨ</t>
    </rPh>
    <phoneticPr fontId="2"/>
  </si>
  <si>
    <t>責任分界</t>
    <rPh sb="0" eb="4">
      <t>セキニンブンカイ</t>
    </rPh>
    <phoneticPr fontId="2"/>
  </si>
  <si>
    <t>アカウント・アクセス権限の管理とあるが、ここでいうアカウントは何のアカウント・アクセス権限かが分からない。
KMS-XDRのアカウントの話だと12.3に記載されているアカウント管理、12.3.2と矛盾がある。</t>
    <rPh sb="31" eb="32">
      <t>ナン</t>
    </rPh>
    <rPh sb="43" eb="45">
      <t>ケンゲン</t>
    </rPh>
    <rPh sb="47" eb="48">
      <t>ワ</t>
    </rPh>
    <rPh sb="68" eb="69">
      <t>ハナシ</t>
    </rPh>
    <rPh sb="76" eb="78">
      <t>キサイ</t>
    </rPh>
    <rPh sb="88" eb="90">
      <t>カンリ</t>
    </rPh>
    <rPh sb="98" eb="100">
      <t>ムジュン</t>
    </rPh>
    <phoneticPr fontId="2"/>
  </si>
  <si>
    <t>アカウント管理</t>
    <rPh sb="5" eb="7">
      <t>カンリ</t>
    </rPh>
    <phoneticPr fontId="2"/>
  </si>
  <si>
    <t>12.3.1など項番がひとつ下がるのであれば、インデントを下げること</t>
    <rPh sb="8" eb="10">
      <t>コウバン</t>
    </rPh>
    <rPh sb="14" eb="15">
      <t>サ</t>
    </rPh>
    <rPh sb="29" eb="30">
      <t>サ</t>
    </rPh>
    <phoneticPr fontId="2"/>
  </si>
  <si>
    <t>12.4にログ保管の話が書かれているが、他の章でも同じことが複数書かれている。何れかを参照させるなどし、冗長を減らすこと</t>
    <rPh sb="7" eb="9">
      <t>ホカン</t>
    </rPh>
    <rPh sb="10" eb="11">
      <t>ハナシ</t>
    </rPh>
    <rPh sb="12" eb="13">
      <t>カ</t>
    </rPh>
    <rPh sb="20" eb="21">
      <t>ホカ</t>
    </rPh>
    <rPh sb="22" eb="23">
      <t>ショウ</t>
    </rPh>
    <rPh sb="25" eb="26">
      <t>オナ</t>
    </rPh>
    <rPh sb="30" eb="32">
      <t>フクスウ</t>
    </rPh>
    <rPh sb="32" eb="33">
      <t>カ</t>
    </rPh>
    <rPh sb="39" eb="40">
      <t>イズ</t>
    </rPh>
    <rPh sb="43" eb="45">
      <t>サンショウ</t>
    </rPh>
    <rPh sb="52" eb="54">
      <t>ジョウチョウ</t>
    </rPh>
    <rPh sb="55" eb="56">
      <t>ヘ</t>
    </rPh>
    <phoneticPr fontId="2"/>
  </si>
  <si>
    <t>ログの取得・保管</t>
    <phoneticPr fontId="2"/>
  </si>
  <si>
    <t>定例会議</t>
    <rPh sb="0" eb="4">
      <t>テイレイカイギ</t>
    </rPh>
    <phoneticPr fontId="2"/>
  </si>
  <si>
    <t>定例会議で報告・レビューするとあるが、誰が何をレビューするのか？
報告なのか？レビューなのか？</t>
    <rPh sb="0" eb="4">
      <t>テイレイカイギ</t>
    </rPh>
    <rPh sb="5" eb="7">
      <t>ホウコク</t>
    </rPh>
    <rPh sb="19" eb="20">
      <t>ダレ</t>
    </rPh>
    <rPh sb="21" eb="22">
      <t>ナニ</t>
    </rPh>
    <rPh sb="33" eb="35">
      <t>ホウコク</t>
    </rPh>
    <phoneticPr fontId="2"/>
  </si>
  <si>
    <t xml:space="preserve">定例会議はいつ開催されるのか？また誰が参加するのかが記載されていない。明確にすること
</t>
    <rPh sb="0" eb="4">
      <t>テイレイカイギ</t>
    </rPh>
    <rPh sb="7" eb="9">
      <t>カイサイ</t>
    </rPh>
    <rPh sb="17" eb="18">
      <t>ダレ</t>
    </rPh>
    <rPh sb="19" eb="21">
      <t>サンカ</t>
    </rPh>
    <rPh sb="26" eb="28">
      <t>キサイ</t>
    </rPh>
    <rPh sb="35" eb="37">
      <t>メイカク</t>
    </rPh>
    <phoneticPr fontId="2"/>
  </si>
  <si>
    <t>マネージメント向け定例報告</t>
    <rPh sb="7" eb="8">
      <t>ム</t>
    </rPh>
    <rPh sb="9" eb="11">
      <t>テイレイ</t>
    </rPh>
    <rPh sb="11" eb="13">
      <t>ホウコク</t>
    </rPh>
    <phoneticPr fontId="2"/>
  </si>
  <si>
    <t>定例報告なのに何故、インシデント発生時のことが書かれているのか</t>
    <rPh sb="0" eb="4">
      <t>テイレイホウコク</t>
    </rPh>
    <rPh sb="7" eb="9">
      <t>ナゼ</t>
    </rPh>
    <rPh sb="16" eb="19">
      <t>ハッセイジ</t>
    </rPh>
    <rPh sb="23" eb="24">
      <t>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</si>
</sst>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
    <numFmt numFmtId="177" formatCode="0.00_ "/>
    <numFmt numFmtId="178" formatCode="0\ \ &quot;人&quot;"/>
    <numFmt numFmtId="179" formatCode="0.0_ "/>
    <numFmt numFmtId="180" formatCode="0.0\ &quot;時間&quot;"/>
    <numFmt numFmtId="181" formatCode="0.0_);[Red]\(0.0\)"/>
    <numFmt numFmtId="182" formatCode="m/d;@"/>
    <numFmt numFmtId="183" formatCode="0&quot;頁&quot;"/>
    <numFmt numFmtId="184" formatCode="0\ &quot;分&quot;"/>
    <numFmt numFmtId="185" formatCode="0.0&quot;頁&quot;"/>
    <numFmt numFmtId="186" formatCode="0&quot;件&quot;"/>
    <numFmt numFmtId="187" formatCode="m/d"/>
  </numFmts>
  <fonts count="2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9"/>
      <color indexed="10"/>
      <name val="ＭＳ Ｐゴシック"/>
      <family val="3"/>
      <charset val="128"/>
    </font>
    <font>
      <sz val="12"/>
      <name val="ＭＳ Ｐゴシック"/>
      <family val="3"/>
      <charset val="128"/>
    </font>
    <font>
      <sz val="5"/>
      <name val="ＭＳ Ｐゴシック"/>
      <family val="3"/>
      <charset val="128"/>
    </font>
    <font>
      <sz val="6"/>
      <color indexed="22"/>
      <name val="ＭＳ Ｐゴシック"/>
      <family val="3"/>
      <charset val="128"/>
    </font>
    <font>
      <sz val="9"/>
      <color indexed="81"/>
      <name val="ＭＳ Ｐゴシック"/>
      <family val="3"/>
      <charset val="128"/>
    </font>
    <font>
      <b/>
      <sz val="9"/>
      <name val="ＭＳ Ｐゴシック"/>
      <family val="3"/>
      <charset val="128"/>
    </font>
    <font>
      <b/>
      <sz val="9"/>
      <color indexed="10"/>
      <name val="ＭＳ Ｐゴシック"/>
      <family val="3"/>
      <charset val="128"/>
    </font>
    <font>
      <sz val="11"/>
      <name val="ＭＳ Ｐゴシック"/>
      <family val="3"/>
      <charset val="128"/>
    </font>
    <font>
      <sz val="8"/>
      <name val="ＭＳ Ｐゴシック"/>
      <family val="3"/>
      <charset val="128"/>
    </font>
    <font>
      <sz val="5"/>
      <color indexed="22"/>
      <name val="ＭＳ Ｐゴシック"/>
      <family val="3"/>
      <charset val="128"/>
    </font>
    <font>
      <sz val="14"/>
      <color indexed="18"/>
      <name val="ＭＳ Ｐゴシック"/>
      <family val="3"/>
      <charset val="128"/>
    </font>
    <font>
      <u/>
      <sz val="9"/>
      <color indexed="12"/>
      <name val="ＭＳ Ｐゴシック"/>
      <family val="3"/>
      <charset val="128"/>
    </font>
    <font>
      <b/>
      <sz val="9"/>
      <color indexed="81"/>
      <name val="ＭＳ Ｐゴシック"/>
      <family val="3"/>
      <charset val="128"/>
    </font>
    <font>
      <u/>
      <sz val="9"/>
      <color indexed="81"/>
      <name val="ＭＳ Ｐゴシック"/>
      <family val="3"/>
      <charset val="128"/>
    </font>
    <font>
      <sz val="9"/>
      <color rgb="FFFF0000"/>
      <name val="ＭＳ Ｐゴシック"/>
      <family val="3"/>
      <charset val="128"/>
    </font>
    <font>
      <sz val="9"/>
      <color indexed="81"/>
      <name val="ＭＳ Ｐゴシック"/>
      <family val="3"/>
      <charset val="128"/>
      <scheme val="major"/>
    </font>
    <font>
      <sz val="9"/>
      <color indexed="81"/>
      <name val="MS P ゴシック"/>
      <family val="3"/>
      <charset val="128"/>
    </font>
  </fonts>
  <fills count="15">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26"/>
        <bgColor indexed="64"/>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rgb="FFFFCC99"/>
        <bgColor indexed="64"/>
      </patternFill>
    </fill>
    <fill>
      <patternFill patternType="solid">
        <fgColor rgb="FFCCFFCC"/>
        <bgColor indexed="64"/>
      </patternFill>
    </fill>
    <fill>
      <patternFill patternType="solid">
        <fgColor theme="0" tint="-0.14996795556505021"/>
        <bgColor indexed="64"/>
      </patternFill>
    </fill>
    <fill>
      <patternFill patternType="solid">
        <fgColor rgb="FF99CCFF"/>
        <bgColor indexed="64"/>
      </patternFill>
    </fill>
    <fill>
      <patternFill patternType="solid">
        <fgColor rgb="FFFFFFCC"/>
        <bgColor indexed="64"/>
      </patternFill>
    </fill>
    <fill>
      <patternFill patternType="solid">
        <fgColor rgb="FFFFCC99"/>
        <bgColor theme="0"/>
      </patternFill>
    </fill>
    <fill>
      <patternFill patternType="solid">
        <fgColor rgb="FFFFFF99"/>
        <bgColor indexed="64"/>
      </patternFill>
    </fill>
  </fills>
  <borders count="78">
    <border>
      <left/>
      <right/>
      <top/>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bottom style="hair">
        <color indexed="64"/>
      </bottom>
      <diagonal/>
    </border>
    <border>
      <left/>
      <right style="thin">
        <color indexed="64"/>
      </right>
      <top style="hair">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hair">
        <color indexed="64"/>
      </bottom>
      <diagonal/>
    </border>
    <border>
      <left style="thin">
        <color indexed="64"/>
      </left>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thin">
        <color indexed="64"/>
      </left>
      <right style="thin">
        <color indexed="64"/>
      </right>
      <top/>
      <bottom/>
      <diagonal/>
    </border>
    <border>
      <left style="thin">
        <color indexed="64"/>
      </left>
      <right/>
      <top/>
      <bottom style="hair">
        <color indexed="64"/>
      </bottom>
      <diagonal/>
    </border>
    <border>
      <left/>
      <right/>
      <top/>
      <bottom style="hair">
        <color indexed="64"/>
      </bottom>
      <diagonal/>
    </border>
    <border>
      <left/>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bottom style="hair">
        <color indexed="64"/>
      </bottom>
      <diagonal/>
    </border>
    <border>
      <left style="hair">
        <color indexed="64"/>
      </left>
      <right/>
      <top style="hair">
        <color indexed="64"/>
      </top>
      <bottom/>
      <diagonal/>
    </border>
    <border>
      <left style="hair">
        <color indexed="64"/>
      </left>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thin">
        <color indexed="64"/>
      </top>
      <bottom/>
      <diagonal/>
    </border>
    <border>
      <left/>
      <right style="hair">
        <color indexed="64"/>
      </right>
      <top/>
      <bottom/>
      <diagonal/>
    </border>
    <border>
      <left style="thin">
        <color indexed="64"/>
      </left>
      <right style="hair">
        <color indexed="64"/>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style="hair">
        <color indexed="64"/>
      </right>
      <top/>
      <bottom style="thin">
        <color indexed="64"/>
      </bottom>
      <diagonal/>
    </border>
  </borders>
  <cellStyleXfs count="1">
    <xf numFmtId="0" fontId="0" fillId="0" borderId="0"/>
  </cellStyleXfs>
  <cellXfs count="448">
    <xf numFmtId="0" fontId="0" fillId="0" borderId="0" xfId="0"/>
    <xf numFmtId="0" fontId="3" fillId="0" borderId="1" xfId="0" applyFont="1" applyBorder="1" applyAlignment="1">
      <alignment vertical="top" wrapText="1"/>
    </xf>
    <xf numFmtId="0" fontId="3" fillId="0" borderId="2" xfId="0" applyFont="1" applyBorder="1" applyAlignment="1">
      <alignment vertical="top" wrapText="1"/>
    </xf>
    <xf numFmtId="0" fontId="3" fillId="2" borderId="3" xfId="0" applyFont="1" applyFill="1" applyBorder="1" applyAlignment="1">
      <alignment vertical="top"/>
    </xf>
    <xf numFmtId="0" fontId="3" fillId="0" borderId="4" xfId="0" applyFont="1" applyBorder="1" applyAlignment="1">
      <alignment vertical="top" wrapText="1"/>
    </xf>
    <xf numFmtId="0" fontId="3" fillId="2" borderId="5" xfId="0" applyFont="1" applyFill="1" applyBorder="1" applyAlignment="1">
      <alignment vertical="top"/>
    </xf>
    <xf numFmtId="0" fontId="3" fillId="2" borderId="6" xfId="0" applyFont="1" applyFill="1" applyBorder="1" applyAlignment="1">
      <alignment vertical="top"/>
    </xf>
    <xf numFmtId="0" fontId="3" fillId="0" borderId="0" xfId="0" applyFont="1" applyAlignment="1">
      <alignment vertical="top"/>
    </xf>
    <xf numFmtId="0" fontId="3" fillId="2" borderId="7" xfId="0" applyFont="1" applyFill="1" applyBorder="1" applyAlignment="1">
      <alignment vertical="top"/>
    </xf>
    <xf numFmtId="0" fontId="3" fillId="2" borderId="8" xfId="0" applyFont="1" applyFill="1" applyBorder="1" applyAlignment="1">
      <alignment vertical="top"/>
    </xf>
    <xf numFmtId="0" fontId="3" fillId="2" borderId="9" xfId="0" applyFont="1" applyFill="1" applyBorder="1" applyAlignment="1">
      <alignment vertical="top"/>
    </xf>
    <xf numFmtId="0" fontId="3" fillId="2" borderId="10" xfId="0" applyFont="1" applyFill="1" applyBorder="1" applyAlignment="1">
      <alignment vertical="top"/>
    </xf>
    <xf numFmtId="0" fontId="3" fillId="2" borderId="11" xfId="0" applyFont="1" applyFill="1" applyBorder="1" applyAlignment="1">
      <alignment vertical="top"/>
    </xf>
    <xf numFmtId="0" fontId="3" fillId="2" borderId="12" xfId="0" applyFont="1" applyFill="1" applyBorder="1" applyAlignment="1">
      <alignment vertical="top"/>
    </xf>
    <xf numFmtId="0" fontId="3" fillId="4" borderId="14" xfId="0" applyFont="1" applyFill="1" applyBorder="1" applyAlignment="1">
      <alignment horizontal="left" vertical="top"/>
    </xf>
    <xf numFmtId="0" fontId="3" fillId="4" borderId="15" xfId="0" applyFont="1" applyFill="1" applyBorder="1" applyAlignment="1">
      <alignment horizontal="left" vertical="top"/>
    </xf>
    <xf numFmtId="14" fontId="3" fillId="4" borderId="15" xfId="0" applyNumberFormat="1" applyFont="1" applyFill="1" applyBorder="1" applyAlignment="1">
      <alignment horizontal="left" vertical="top"/>
    </xf>
    <xf numFmtId="179" fontId="3" fillId="4" borderId="15" xfId="0" applyNumberFormat="1" applyFont="1" applyFill="1" applyBorder="1" applyAlignment="1">
      <alignment horizontal="left" vertical="top"/>
    </xf>
    <xf numFmtId="179" fontId="3" fillId="4" borderId="16" xfId="0" applyNumberFormat="1" applyFont="1" applyFill="1" applyBorder="1" applyAlignment="1">
      <alignment horizontal="left" vertical="top"/>
    </xf>
    <xf numFmtId="0" fontId="3" fillId="4" borderId="17" xfId="0" applyFont="1" applyFill="1" applyBorder="1" applyAlignment="1">
      <alignment horizontal="left" vertical="top"/>
    </xf>
    <xf numFmtId="0" fontId="3" fillId="4" borderId="15" xfId="0" applyFont="1" applyFill="1" applyBorder="1" applyAlignment="1">
      <alignment horizontal="left" vertical="top" wrapText="1"/>
    </xf>
    <xf numFmtId="0" fontId="3" fillId="2" borderId="18" xfId="0" applyFont="1" applyFill="1" applyBorder="1" applyAlignment="1">
      <alignment vertical="top"/>
    </xf>
    <xf numFmtId="14" fontId="3" fillId="4" borderId="19" xfId="0" applyNumberFormat="1" applyFont="1" applyFill="1" applyBorder="1" applyAlignment="1">
      <alignment horizontal="left" vertical="top"/>
    </xf>
    <xf numFmtId="0" fontId="3" fillId="4" borderId="20" xfId="0" applyFont="1" applyFill="1" applyBorder="1" applyAlignment="1">
      <alignment vertical="top"/>
    </xf>
    <xf numFmtId="0" fontId="3" fillId="2" borderId="21" xfId="0" applyFont="1" applyFill="1" applyBorder="1" applyAlignment="1">
      <alignment vertical="top"/>
    </xf>
    <xf numFmtId="0" fontId="3" fillId="0" borderId="0" xfId="0" applyFont="1"/>
    <xf numFmtId="0" fontId="3" fillId="0" borderId="6" xfId="0" applyFont="1" applyBorder="1" applyAlignment="1">
      <alignment vertical="top"/>
    </xf>
    <xf numFmtId="0" fontId="3" fillId="0" borderId="5" xfId="0" applyFont="1" applyBorder="1" applyAlignment="1">
      <alignment vertical="top"/>
    </xf>
    <xf numFmtId="0" fontId="3" fillId="0" borderId="3" xfId="0" applyFont="1" applyBorder="1" applyAlignment="1">
      <alignment vertical="top"/>
    </xf>
    <xf numFmtId="0" fontId="3" fillId="0" borderId="10" xfId="0" applyFont="1" applyBorder="1" applyAlignment="1">
      <alignment vertical="top" wrapText="1"/>
    </xf>
    <xf numFmtId="0" fontId="3" fillId="0" borderId="10" xfId="0" applyFont="1" applyBorder="1" applyAlignment="1">
      <alignment horizontal="left" vertical="top"/>
    </xf>
    <xf numFmtId="0" fontId="3" fillId="0" borderId="8" xfId="0" applyFont="1" applyBorder="1" applyAlignment="1">
      <alignment vertical="top" wrapText="1"/>
    </xf>
    <xf numFmtId="0" fontId="3" fillId="0" borderId="0" xfId="0" applyFont="1" applyAlignment="1">
      <alignment vertical="top" wrapText="1"/>
    </xf>
    <xf numFmtId="0" fontId="3" fillId="2" borderId="0" xfId="0" applyFont="1" applyFill="1" applyAlignment="1">
      <alignment vertical="top"/>
    </xf>
    <xf numFmtId="0" fontId="3" fillId="2" borderId="13" xfId="0" applyFont="1" applyFill="1" applyBorder="1" applyAlignment="1">
      <alignment vertical="top"/>
    </xf>
    <xf numFmtId="0" fontId="3" fillId="0" borderId="20" xfId="0" applyFont="1" applyBorder="1" applyAlignment="1">
      <alignment vertical="top" wrapText="1"/>
    </xf>
    <xf numFmtId="0" fontId="3" fillId="2" borderId="33" xfId="0" applyFont="1" applyFill="1" applyBorder="1" applyAlignment="1">
      <alignment vertical="top"/>
    </xf>
    <xf numFmtId="0" fontId="3" fillId="2" borderId="2" xfId="0" applyFont="1" applyFill="1" applyBorder="1" applyAlignment="1">
      <alignment vertical="top"/>
    </xf>
    <xf numFmtId="0" fontId="3" fillId="2" borderId="27" xfId="0" applyFont="1" applyFill="1" applyBorder="1" applyAlignment="1">
      <alignment vertical="top"/>
    </xf>
    <xf numFmtId="0" fontId="3" fillId="2" borderId="4" xfId="0" applyFont="1" applyFill="1" applyBorder="1" applyAlignment="1">
      <alignment vertical="top"/>
    </xf>
    <xf numFmtId="0" fontId="3" fillId="2" borderId="22" xfId="0" applyFont="1" applyFill="1" applyBorder="1" applyAlignment="1">
      <alignment vertical="top"/>
    </xf>
    <xf numFmtId="0" fontId="3" fillId="2" borderId="1" xfId="0" applyFont="1" applyFill="1" applyBorder="1" applyAlignment="1">
      <alignment vertical="top"/>
    </xf>
    <xf numFmtId="0" fontId="3" fillId="2" borderId="42" xfId="0" applyFont="1" applyFill="1" applyBorder="1" applyAlignment="1">
      <alignment vertical="top"/>
    </xf>
    <xf numFmtId="0" fontId="3" fillId="2" borderId="43" xfId="0" applyFont="1" applyFill="1" applyBorder="1" applyAlignment="1">
      <alignment vertical="top"/>
    </xf>
    <xf numFmtId="0" fontId="3" fillId="2" borderId="28" xfId="0" applyFont="1" applyFill="1" applyBorder="1" applyAlignment="1">
      <alignment vertical="top"/>
    </xf>
    <xf numFmtId="0" fontId="3" fillId="2" borderId="34" xfId="0" applyFont="1" applyFill="1" applyBorder="1" applyAlignment="1">
      <alignment vertical="top"/>
    </xf>
    <xf numFmtId="0" fontId="3" fillId="2" borderId="44" xfId="0" applyFont="1" applyFill="1" applyBorder="1" applyAlignment="1">
      <alignment vertical="top"/>
    </xf>
    <xf numFmtId="0" fontId="3" fillId="2" borderId="29" xfId="0" applyFont="1" applyFill="1" applyBorder="1" applyAlignment="1">
      <alignment vertical="top"/>
    </xf>
    <xf numFmtId="0" fontId="3" fillId="0" borderId="51" xfId="0" applyFont="1" applyBorder="1" applyAlignment="1">
      <alignment vertical="top" wrapText="1"/>
    </xf>
    <xf numFmtId="0" fontId="3" fillId="2" borderId="54" xfId="0" applyFont="1" applyFill="1" applyBorder="1" applyAlignment="1">
      <alignment vertical="top"/>
    </xf>
    <xf numFmtId="0" fontId="3" fillId="6" borderId="33" xfId="0" applyFont="1" applyFill="1" applyBorder="1" applyAlignment="1">
      <alignment vertical="top"/>
    </xf>
    <xf numFmtId="0" fontId="3" fillId="6" borderId="2" xfId="0" applyFont="1" applyFill="1" applyBorder="1" applyAlignment="1">
      <alignment vertical="top"/>
    </xf>
    <xf numFmtId="0" fontId="3" fillId="6" borderId="9" xfId="0" applyFont="1" applyFill="1" applyBorder="1" applyAlignment="1">
      <alignment vertical="top"/>
    </xf>
    <xf numFmtId="0" fontId="3" fillId="6" borderId="50" xfId="0" applyFont="1" applyFill="1" applyBorder="1" applyAlignment="1">
      <alignment vertical="top"/>
    </xf>
    <xf numFmtId="0" fontId="3" fillId="6" borderId="4" xfId="0" applyFont="1" applyFill="1" applyBorder="1" applyAlignment="1">
      <alignment vertical="top"/>
    </xf>
    <xf numFmtId="0" fontId="3" fillId="6" borderId="21" xfId="0" applyFont="1" applyFill="1" applyBorder="1" applyAlignment="1">
      <alignment vertical="top"/>
    </xf>
    <xf numFmtId="0" fontId="3" fillId="6" borderId="24" xfId="0" applyFont="1" applyFill="1" applyBorder="1" applyAlignment="1">
      <alignment vertical="top"/>
    </xf>
    <xf numFmtId="0" fontId="3" fillId="5" borderId="9" xfId="0" applyFont="1" applyFill="1" applyBorder="1" applyAlignment="1">
      <alignment vertical="top"/>
    </xf>
    <xf numFmtId="0" fontId="3" fillId="5" borderId="55" xfId="0" applyFont="1" applyFill="1" applyBorder="1" applyAlignment="1">
      <alignment vertical="top"/>
    </xf>
    <xf numFmtId="0" fontId="3" fillId="5" borderId="4" xfId="0" applyFont="1" applyFill="1" applyBorder="1" applyAlignment="1">
      <alignment vertical="top"/>
    </xf>
    <xf numFmtId="0" fontId="3" fillId="5" borderId="56" xfId="0" applyFont="1" applyFill="1" applyBorder="1" applyAlignment="1">
      <alignment vertical="top"/>
    </xf>
    <xf numFmtId="0" fontId="3" fillId="5" borderId="51" xfId="0" applyFont="1" applyFill="1" applyBorder="1" applyAlignment="1">
      <alignment vertical="top"/>
    </xf>
    <xf numFmtId="0" fontId="3" fillId="5" borderId="26" xfId="0" applyFont="1" applyFill="1" applyBorder="1" applyAlignment="1">
      <alignment vertical="top"/>
    </xf>
    <xf numFmtId="0" fontId="3" fillId="0" borderId="20" xfId="0" applyFont="1" applyBorder="1" applyAlignment="1">
      <alignment vertical="top"/>
    </xf>
    <xf numFmtId="0" fontId="3" fillId="0" borderId="14" xfId="0" applyFont="1" applyBorder="1" applyAlignment="1">
      <alignment vertical="top"/>
    </xf>
    <xf numFmtId="0" fontId="3" fillId="0" borderId="15" xfId="0" applyFont="1" applyBorder="1" applyAlignment="1">
      <alignment vertical="top"/>
    </xf>
    <xf numFmtId="0" fontId="3" fillId="0" borderId="17" xfId="0" applyFont="1" applyBorder="1" applyAlignment="1">
      <alignment vertical="top"/>
    </xf>
    <xf numFmtId="0" fontId="3" fillId="0" borderId="19" xfId="0" applyFont="1" applyBorder="1" applyAlignment="1">
      <alignment vertical="top"/>
    </xf>
    <xf numFmtId="0" fontId="3" fillId="0" borderId="16" xfId="0" applyFont="1" applyBorder="1" applyAlignment="1">
      <alignment vertical="top"/>
    </xf>
    <xf numFmtId="0" fontId="3" fillId="6" borderId="7" xfId="0" applyFont="1" applyFill="1" applyBorder="1" applyAlignment="1">
      <alignment vertical="top"/>
    </xf>
    <xf numFmtId="0" fontId="3" fillId="6" borderId="57" xfId="0" applyFont="1" applyFill="1" applyBorder="1" applyAlignment="1">
      <alignment vertical="top"/>
    </xf>
    <xf numFmtId="177" fontId="3" fillId="0" borderId="0" xfId="0" applyNumberFormat="1" applyFont="1" applyAlignment="1">
      <alignment horizontal="left" vertical="top"/>
    </xf>
    <xf numFmtId="0" fontId="3" fillId="0" borderId="11" xfId="0" applyFont="1" applyBorder="1" applyAlignment="1">
      <alignment vertical="top"/>
    </xf>
    <xf numFmtId="176" fontId="3" fillId="0" borderId="11" xfId="0" applyNumberFormat="1" applyFont="1" applyBorder="1" applyAlignment="1">
      <alignment horizontal="left" vertical="top"/>
    </xf>
    <xf numFmtId="10" fontId="3" fillId="0" borderId="11" xfId="0" applyNumberFormat="1" applyFont="1" applyBorder="1" applyAlignment="1">
      <alignment horizontal="left" vertical="top"/>
    </xf>
    <xf numFmtId="10" fontId="3" fillId="0" borderId="0" xfId="0" applyNumberFormat="1" applyFont="1" applyAlignment="1">
      <alignment horizontal="left" vertical="top"/>
    </xf>
    <xf numFmtId="0" fontId="3" fillId="6" borderId="55" xfId="0" applyFont="1" applyFill="1" applyBorder="1" applyAlignment="1">
      <alignment vertical="top"/>
    </xf>
    <xf numFmtId="0" fontId="13" fillId="6" borderId="58" xfId="0" applyFont="1" applyFill="1" applyBorder="1" applyAlignment="1">
      <alignment vertical="top"/>
    </xf>
    <xf numFmtId="0" fontId="13" fillId="6" borderId="59" xfId="0" applyFont="1" applyFill="1" applyBorder="1" applyAlignment="1">
      <alignment vertical="top"/>
    </xf>
    <xf numFmtId="0" fontId="14" fillId="0" borderId="0" xfId="0" applyFont="1"/>
    <xf numFmtId="0" fontId="3" fillId="0" borderId="53" xfId="0" applyFont="1" applyBorder="1" applyAlignment="1">
      <alignment vertical="top" wrapText="1"/>
    </xf>
    <xf numFmtId="0" fontId="3" fillId="0" borderId="1" xfId="0" applyFont="1" applyBorder="1" applyAlignment="1">
      <alignment vertical="top"/>
    </xf>
    <xf numFmtId="0" fontId="3" fillId="2" borderId="9" xfId="0" applyFont="1" applyFill="1" applyBorder="1" applyAlignment="1">
      <alignment vertical="top" textRotation="255"/>
    </xf>
    <xf numFmtId="0" fontId="3" fillId="2" borderId="21" xfId="0" applyFont="1" applyFill="1" applyBorder="1" applyAlignment="1">
      <alignment vertical="top" textRotation="255"/>
    </xf>
    <xf numFmtId="0" fontId="3" fillId="2" borderId="24" xfId="0" applyFont="1" applyFill="1" applyBorder="1" applyAlignment="1">
      <alignment vertical="top"/>
    </xf>
    <xf numFmtId="0" fontId="3" fillId="5" borderId="7" xfId="0" applyFont="1" applyFill="1" applyBorder="1" applyAlignment="1">
      <alignment vertical="top"/>
    </xf>
    <xf numFmtId="0" fontId="3" fillId="5" borderId="11" xfId="0" applyFont="1" applyFill="1" applyBorder="1" applyAlignment="1">
      <alignment vertical="top"/>
    </xf>
    <xf numFmtId="0" fontId="3" fillId="5" borderId="9" xfId="0" applyFont="1" applyFill="1" applyBorder="1" applyAlignment="1">
      <alignment vertical="top" textRotation="255"/>
    </xf>
    <xf numFmtId="0" fontId="3" fillId="5" borderId="50" xfId="0" applyFont="1" applyFill="1" applyBorder="1" applyAlignment="1">
      <alignment vertical="top"/>
    </xf>
    <xf numFmtId="0" fontId="3" fillId="5" borderId="27" xfId="0" applyFont="1" applyFill="1" applyBorder="1" applyAlignment="1">
      <alignment vertical="top"/>
    </xf>
    <xf numFmtId="0" fontId="3" fillId="5" borderId="21" xfId="0" applyFont="1" applyFill="1" applyBorder="1" applyAlignment="1">
      <alignment vertical="top"/>
    </xf>
    <xf numFmtId="0" fontId="3" fillId="5" borderId="24" xfId="0" applyFont="1" applyFill="1" applyBorder="1" applyAlignment="1">
      <alignment vertical="top"/>
    </xf>
    <xf numFmtId="0" fontId="3" fillId="5" borderId="22" xfId="0" applyFont="1" applyFill="1" applyBorder="1" applyAlignment="1">
      <alignment vertical="top"/>
    </xf>
    <xf numFmtId="0" fontId="3" fillId="3" borderId="53" xfId="0" applyFont="1" applyFill="1" applyBorder="1" applyAlignment="1">
      <alignment vertical="top"/>
    </xf>
    <xf numFmtId="0" fontId="3" fillId="3" borderId="21" xfId="0" applyFont="1" applyFill="1" applyBorder="1" applyAlignment="1">
      <alignment vertical="top"/>
    </xf>
    <xf numFmtId="0" fontId="3" fillId="3" borderId="30" xfId="0" applyFont="1" applyFill="1" applyBorder="1" applyAlignment="1">
      <alignment vertical="top"/>
    </xf>
    <xf numFmtId="0" fontId="12" fillId="0" borderId="15" xfId="0" applyFont="1" applyBorder="1" applyAlignment="1">
      <alignment vertical="top"/>
    </xf>
    <xf numFmtId="0" fontId="3" fillId="6" borderId="28" xfId="0" applyFont="1" applyFill="1" applyBorder="1" applyAlignment="1">
      <alignment vertical="top"/>
    </xf>
    <xf numFmtId="0" fontId="3" fillId="6" borderId="56" xfId="0" applyFont="1" applyFill="1" applyBorder="1" applyAlignment="1">
      <alignment vertical="top"/>
    </xf>
    <xf numFmtId="0" fontId="3" fillId="6" borderId="29" xfId="0" applyFont="1" applyFill="1" applyBorder="1" applyAlignment="1">
      <alignment vertical="top"/>
    </xf>
    <xf numFmtId="0" fontId="3" fillId="5" borderId="8" xfId="0" applyFont="1" applyFill="1" applyBorder="1" applyAlignment="1">
      <alignment vertical="top"/>
    </xf>
    <xf numFmtId="0" fontId="3" fillId="5" borderId="38" xfId="0" applyFont="1" applyFill="1" applyBorder="1" applyAlignment="1">
      <alignment vertical="top"/>
    </xf>
    <xf numFmtId="0" fontId="3" fillId="4" borderId="16" xfId="0" applyFont="1" applyFill="1" applyBorder="1" applyAlignment="1">
      <alignment horizontal="left" vertical="top"/>
    </xf>
    <xf numFmtId="176" fontId="3" fillId="4" borderId="20" xfId="0" applyNumberFormat="1" applyFont="1" applyFill="1" applyBorder="1" applyAlignment="1">
      <alignment horizontal="left" vertical="top"/>
    </xf>
    <xf numFmtId="10" fontId="3" fillId="0" borderId="20" xfId="0" applyNumberFormat="1" applyFont="1" applyBorder="1" applyAlignment="1">
      <alignment horizontal="left" vertical="top"/>
    </xf>
    <xf numFmtId="10" fontId="3" fillId="0" borderId="20" xfId="0" applyNumberFormat="1" applyFont="1" applyBorder="1" applyAlignment="1">
      <alignment vertical="top"/>
    </xf>
    <xf numFmtId="0" fontId="3" fillId="6" borderId="63" xfId="0" applyFont="1" applyFill="1" applyBorder="1" applyAlignment="1">
      <alignment vertical="top"/>
    </xf>
    <xf numFmtId="0" fontId="3" fillId="6" borderId="64" xfId="0" applyFont="1" applyFill="1" applyBorder="1" applyAlignment="1">
      <alignment vertical="top"/>
    </xf>
    <xf numFmtId="0" fontId="3" fillId="6" borderId="40" xfId="0" applyFont="1" applyFill="1" applyBorder="1" applyAlignment="1">
      <alignment vertical="top"/>
    </xf>
    <xf numFmtId="0" fontId="3" fillId="2" borderId="10" xfId="0" applyFont="1" applyFill="1" applyBorder="1" applyAlignment="1">
      <alignment vertical="top" wrapText="1"/>
    </xf>
    <xf numFmtId="0" fontId="3" fillId="2" borderId="3" xfId="0" applyFont="1" applyFill="1" applyBorder="1" applyAlignment="1">
      <alignment vertical="top" wrapText="1"/>
    </xf>
    <xf numFmtId="0" fontId="3" fillId="2" borderId="10" xfId="0" applyFont="1" applyFill="1" applyBorder="1" applyAlignment="1">
      <alignment horizontal="center" vertical="top" wrapText="1"/>
    </xf>
    <xf numFmtId="0" fontId="3" fillId="0" borderId="41" xfId="0" applyFont="1" applyBorder="1" applyAlignment="1">
      <alignment vertical="top"/>
    </xf>
    <xf numFmtId="0" fontId="3" fillId="0" borderId="53" xfId="0" applyFont="1" applyBorder="1" applyAlignment="1">
      <alignment vertical="top"/>
    </xf>
    <xf numFmtId="0" fontId="3" fillId="4" borderId="15" xfId="0" applyFont="1" applyFill="1" applyBorder="1" applyAlignment="1">
      <alignment vertical="top"/>
    </xf>
    <xf numFmtId="0" fontId="3" fillId="4" borderId="17" xfId="0" applyFont="1" applyFill="1" applyBorder="1" applyAlignment="1">
      <alignment vertical="top"/>
    </xf>
    <xf numFmtId="0" fontId="15" fillId="0" borderId="0" xfId="0" applyFont="1" applyAlignment="1">
      <alignment vertical="top"/>
    </xf>
    <xf numFmtId="0" fontId="3" fillId="0" borderId="15" xfId="0" applyFont="1" applyBorder="1" applyAlignment="1">
      <alignment horizontal="center" vertical="top" wrapText="1"/>
    </xf>
    <xf numFmtId="0" fontId="3" fillId="0" borderId="17" xfId="0" applyFont="1" applyBorder="1" applyAlignment="1">
      <alignment horizontal="center" vertical="top" wrapText="1"/>
    </xf>
    <xf numFmtId="0" fontId="3" fillId="0" borderId="16" xfId="0" applyFont="1" applyBorder="1" applyAlignment="1">
      <alignment horizontal="center" vertical="top" wrapText="1"/>
    </xf>
    <xf numFmtId="0" fontId="3" fillId="0" borderId="14" xfId="0" applyFont="1" applyBorder="1" applyAlignment="1">
      <alignment horizontal="center" vertical="top" wrapText="1"/>
    </xf>
    <xf numFmtId="0" fontId="3" fillId="4" borderId="14" xfId="0" applyFont="1" applyFill="1" applyBorder="1" applyAlignment="1">
      <alignment vertical="top"/>
    </xf>
    <xf numFmtId="0" fontId="14" fillId="0" borderId="0" xfId="0" applyFont="1" applyAlignment="1">
      <alignment vertical="top"/>
    </xf>
    <xf numFmtId="0" fontId="3" fillId="0" borderId="14" xfId="0" applyFont="1" applyBorder="1" applyAlignment="1">
      <alignment vertical="top" wrapText="1"/>
    </xf>
    <xf numFmtId="0" fontId="3" fillId="0" borderId="15" xfId="0" applyFont="1" applyBorder="1" applyAlignment="1">
      <alignment vertical="top" wrapText="1"/>
    </xf>
    <xf numFmtId="0" fontId="3" fillId="0" borderId="17" xfId="0" applyFont="1" applyBorder="1" applyAlignment="1">
      <alignment vertical="top" wrapText="1"/>
    </xf>
    <xf numFmtId="0" fontId="3" fillId="0" borderId="34"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horizontal="center" vertical="top" wrapText="1"/>
    </xf>
    <xf numFmtId="0" fontId="3" fillId="0" borderId="65" xfId="0" applyFont="1" applyBorder="1" applyAlignment="1">
      <alignment vertical="top" wrapText="1"/>
    </xf>
    <xf numFmtId="0" fontId="3" fillId="4" borderId="19" xfId="0" applyFont="1" applyFill="1" applyBorder="1" applyAlignment="1">
      <alignment vertical="top"/>
    </xf>
    <xf numFmtId="0" fontId="3" fillId="4" borderId="16" xfId="0" applyFont="1" applyFill="1" applyBorder="1" applyAlignment="1">
      <alignment vertical="top"/>
    </xf>
    <xf numFmtId="0" fontId="3" fillId="0" borderId="19" xfId="0" applyFont="1" applyBorder="1" applyAlignment="1">
      <alignment vertical="top" wrapText="1"/>
    </xf>
    <xf numFmtId="0" fontId="4" fillId="0" borderId="0" xfId="0" applyFont="1" applyAlignment="1">
      <alignment vertical="top"/>
    </xf>
    <xf numFmtId="0" fontId="3" fillId="0" borderId="54" xfId="0" applyFont="1" applyBorder="1" applyAlignment="1">
      <alignment vertical="top" wrapText="1"/>
    </xf>
    <xf numFmtId="0" fontId="3" fillId="0" borderId="57" xfId="0" applyFont="1" applyBorder="1" applyAlignment="1">
      <alignment vertical="top" wrapText="1"/>
    </xf>
    <xf numFmtId="0" fontId="3" fillId="7" borderId="53" xfId="0" applyFont="1" applyFill="1" applyBorder="1" applyAlignment="1">
      <alignment vertical="top"/>
    </xf>
    <xf numFmtId="0" fontId="3" fillId="7" borderId="21" xfId="0" applyFont="1" applyFill="1" applyBorder="1" applyAlignment="1">
      <alignment vertical="top"/>
    </xf>
    <xf numFmtId="0" fontId="3" fillId="7" borderId="30" xfId="0" applyFont="1" applyFill="1" applyBorder="1" applyAlignment="1">
      <alignment vertical="top"/>
    </xf>
    <xf numFmtId="0" fontId="3" fillId="2" borderId="32" xfId="0" applyFont="1" applyFill="1" applyBorder="1" applyAlignment="1">
      <alignment vertical="top"/>
    </xf>
    <xf numFmtId="0" fontId="3" fillId="2" borderId="30" xfId="0" applyFont="1" applyFill="1" applyBorder="1" applyAlignment="1">
      <alignment vertical="top"/>
    </xf>
    <xf numFmtId="0" fontId="3" fillId="2" borderId="31" xfId="0" applyFont="1" applyFill="1" applyBorder="1" applyAlignment="1">
      <alignment vertical="top"/>
    </xf>
    <xf numFmtId="0" fontId="3" fillId="0" borderId="41" xfId="0" applyFont="1" applyBorder="1" applyAlignment="1">
      <alignment vertical="top" wrapText="1"/>
    </xf>
    <xf numFmtId="0" fontId="3" fillId="5" borderId="1" xfId="0" applyFont="1" applyFill="1" applyBorder="1" applyAlignment="1">
      <alignment vertical="top"/>
    </xf>
    <xf numFmtId="0" fontId="3" fillId="3" borderId="31" xfId="0" applyFont="1" applyFill="1" applyBorder="1" applyAlignment="1">
      <alignment vertical="top"/>
    </xf>
    <xf numFmtId="0" fontId="3" fillId="7" borderId="31" xfId="0" applyFont="1" applyFill="1" applyBorder="1" applyAlignment="1">
      <alignment vertical="top"/>
    </xf>
    <xf numFmtId="0" fontId="3" fillId="0" borderId="32" xfId="0" applyFont="1" applyBorder="1" applyAlignment="1">
      <alignment vertical="top"/>
    </xf>
    <xf numFmtId="0" fontId="3" fillId="0" borderId="31" xfId="0" applyFont="1" applyBorder="1" applyAlignment="1">
      <alignment vertical="top"/>
    </xf>
    <xf numFmtId="0" fontId="3" fillId="0" borderId="9" xfId="0" applyFont="1" applyBorder="1" applyAlignment="1">
      <alignment horizontal="right" vertical="top"/>
    </xf>
    <xf numFmtId="0" fontId="3" fillId="0" borderId="21" xfId="0" applyFont="1" applyBorder="1" applyAlignment="1">
      <alignment horizontal="right" vertical="top"/>
    </xf>
    <xf numFmtId="0" fontId="3" fillId="0" borderId="30" xfId="0" applyFont="1" applyBorder="1" applyAlignment="1">
      <alignment horizontal="right" vertical="top"/>
    </xf>
    <xf numFmtId="0" fontId="3" fillId="5" borderId="10" xfId="0" applyFont="1" applyFill="1" applyBorder="1" applyAlignment="1">
      <alignment vertical="top"/>
    </xf>
    <xf numFmtId="0" fontId="3" fillId="2" borderId="55" xfId="0" applyFont="1" applyFill="1" applyBorder="1" applyAlignment="1">
      <alignment vertical="top"/>
    </xf>
    <xf numFmtId="0" fontId="3" fillId="2" borderId="56" xfId="0" applyFont="1" applyFill="1" applyBorder="1" applyAlignment="1">
      <alignment vertical="top"/>
    </xf>
    <xf numFmtId="0" fontId="3" fillId="0" borderId="32" xfId="0" applyFont="1" applyBorder="1" applyAlignment="1">
      <alignment vertical="top" wrapText="1"/>
    </xf>
    <xf numFmtId="0" fontId="3" fillId="2" borderId="38" xfId="0" applyFont="1" applyFill="1" applyBorder="1" applyAlignment="1">
      <alignment vertical="top"/>
    </xf>
    <xf numFmtId="0" fontId="3" fillId="0" borderId="0" xfId="0" applyFont="1" applyAlignment="1">
      <alignment horizontal="right" vertical="top"/>
    </xf>
    <xf numFmtId="0" fontId="3" fillId="9" borderId="6" xfId="0" applyFont="1" applyFill="1" applyBorder="1" applyAlignment="1">
      <alignment vertical="top" wrapText="1"/>
    </xf>
    <xf numFmtId="0" fontId="3" fillId="9" borderId="3" xfId="0" applyFont="1" applyFill="1" applyBorder="1" applyAlignment="1">
      <alignment vertical="top" wrapText="1"/>
    </xf>
    <xf numFmtId="0" fontId="3" fillId="8" borderId="53" xfId="0" applyFont="1" applyFill="1" applyBorder="1" applyAlignment="1">
      <alignment vertical="top"/>
    </xf>
    <xf numFmtId="0" fontId="3" fillId="8" borderId="21" xfId="0" applyFont="1" applyFill="1" applyBorder="1" applyAlignment="1">
      <alignment vertical="top"/>
    </xf>
    <xf numFmtId="0" fontId="3" fillId="8" borderId="30" xfId="0" applyFont="1" applyFill="1" applyBorder="1" applyAlignment="1">
      <alignment vertical="top"/>
    </xf>
    <xf numFmtId="0" fontId="3" fillId="8" borderId="31" xfId="0" applyFont="1" applyFill="1" applyBorder="1" applyAlignment="1">
      <alignment vertical="top"/>
    </xf>
    <xf numFmtId="0" fontId="3" fillId="3" borderId="6" xfId="0" applyFont="1" applyFill="1" applyBorder="1" applyAlignment="1">
      <alignment horizontal="left" vertical="top"/>
    </xf>
    <xf numFmtId="0" fontId="3" fillId="3" borderId="5" xfId="0" applyFont="1" applyFill="1" applyBorder="1" applyAlignment="1">
      <alignment horizontal="left" vertical="top"/>
    </xf>
    <xf numFmtId="0" fontId="3" fillId="3" borderId="3" xfId="0" applyFont="1" applyFill="1" applyBorder="1" applyAlignment="1">
      <alignment horizontal="left" vertical="top"/>
    </xf>
    <xf numFmtId="0" fontId="3" fillId="8" borderId="6" xfId="0" applyFont="1" applyFill="1" applyBorder="1" applyAlignment="1">
      <alignment vertical="top"/>
    </xf>
    <xf numFmtId="0" fontId="3" fillId="8" borderId="5" xfId="0" applyFont="1" applyFill="1" applyBorder="1" applyAlignment="1">
      <alignment vertical="top"/>
    </xf>
    <xf numFmtId="0" fontId="3" fillId="8" borderId="3" xfId="0" applyFont="1" applyFill="1" applyBorder="1" applyAlignment="1">
      <alignment vertical="top"/>
    </xf>
    <xf numFmtId="0" fontId="3" fillId="0" borderId="77" xfId="0" applyFont="1" applyBorder="1" applyAlignment="1">
      <alignment vertical="top" wrapText="1"/>
    </xf>
    <xf numFmtId="0" fontId="3" fillId="0" borderId="26" xfId="0" applyFont="1" applyBorder="1" applyAlignment="1">
      <alignment vertical="top" wrapText="1"/>
    </xf>
    <xf numFmtId="0" fontId="0" fillId="0" borderId="0" xfId="0" applyProtection="1">
      <protection locked="0"/>
    </xf>
    <xf numFmtId="0" fontId="3" fillId="0" borderId="0" xfId="0" applyFont="1" applyAlignment="1" applyProtection="1">
      <alignment vertical="top"/>
      <protection locked="0"/>
    </xf>
    <xf numFmtId="182" fontId="3" fillId="0" borderId="0" xfId="0" applyNumberFormat="1" applyFont="1" applyAlignment="1" applyProtection="1">
      <alignment vertical="top"/>
      <protection locked="0"/>
    </xf>
    <xf numFmtId="0" fontId="2" fillId="0" borderId="0" xfId="0" applyFont="1" applyAlignment="1" applyProtection="1">
      <alignment vertical="top"/>
      <protection locked="0"/>
    </xf>
    <xf numFmtId="0" fontId="14" fillId="0" borderId="0" xfId="0" applyFont="1" applyProtection="1">
      <protection locked="0"/>
    </xf>
    <xf numFmtId="0" fontId="3" fillId="0" borderId="0" xfId="0" applyFont="1" applyProtection="1">
      <protection locked="0"/>
    </xf>
    <xf numFmtId="0" fontId="3" fillId="2" borderId="6"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0" borderId="6" xfId="0" applyFont="1" applyBorder="1" applyAlignment="1" applyProtection="1">
      <alignment vertical="top"/>
      <protection locked="0"/>
    </xf>
    <xf numFmtId="0" fontId="3" fillId="0" borderId="5" xfId="0" applyFont="1" applyBorder="1" applyAlignment="1" applyProtection="1">
      <alignment vertical="top"/>
      <protection locked="0"/>
    </xf>
    <xf numFmtId="0" fontId="3" fillId="0" borderId="3" xfId="0" applyFont="1" applyBorder="1" applyAlignment="1" applyProtection="1">
      <alignment vertical="top"/>
      <protection locked="0"/>
    </xf>
    <xf numFmtId="0" fontId="5" fillId="0" borderId="0" xfId="0" applyFont="1" applyAlignment="1" applyProtection="1">
      <alignment vertical="top"/>
      <protection locked="0"/>
    </xf>
    <xf numFmtId="0" fontId="3" fillId="0" borderId="10" xfId="0" applyFont="1" applyBorder="1" applyAlignment="1" applyProtection="1">
      <alignment vertical="top"/>
      <protection locked="0"/>
    </xf>
    <xf numFmtId="0" fontId="3" fillId="2" borderId="3" xfId="0" applyFont="1" applyFill="1" applyBorder="1" applyAlignment="1" applyProtection="1">
      <alignment vertical="top"/>
      <protection locked="0"/>
    </xf>
    <xf numFmtId="0" fontId="3" fillId="0" borderId="10" xfId="0" applyFont="1" applyBorder="1" applyAlignment="1" applyProtection="1">
      <alignment horizontal="left" vertical="top"/>
      <protection locked="0"/>
    </xf>
    <xf numFmtId="0" fontId="3" fillId="9" borderId="10" xfId="0" applyFont="1" applyFill="1" applyBorder="1" applyAlignment="1" applyProtection="1">
      <alignment horizontal="center" vertical="top" shrinkToFit="1"/>
      <protection locked="0"/>
    </xf>
    <xf numFmtId="0" fontId="1" fillId="0" borderId="0" xfId="0" applyFont="1" applyAlignment="1" applyProtection="1">
      <alignment vertical="top"/>
      <protection locked="0"/>
    </xf>
    <xf numFmtId="0" fontId="4" fillId="0" borderId="0" xfId="0" applyFont="1" applyAlignment="1" applyProtection="1">
      <alignment vertical="top"/>
      <protection locked="0"/>
    </xf>
    <xf numFmtId="0" fontId="3" fillId="0" borderId="0" xfId="0" applyFont="1" applyAlignment="1" applyProtection="1">
      <alignment vertical="top" wrapText="1"/>
      <protection locked="0"/>
    </xf>
    <xf numFmtId="0" fontId="6" fillId="0" borderId="0" xfId="0" applyFont="1" applyAlignment="1" applyProtection="1">
      <alignment vertical="top"/>
      <protection locked="0"/>
    </xf>
    <xf numFmtId="0" fontId="3" fillId="2" borderId="7" xfId="0" applyFont="1" applyFill="1" applyBorder="1" applyAlignment="1" applyProtection="1">
      <alignment vertical="top"/>
      <protection locked="0"/>
    </xf>
    <xf numFmtId="0" fontId="3" fillId="2" borderId="11" xfId="0" applyFont="1" applyFill="1" applyBorder="1" applyAlignment="1" applyProtection="1">
      <alignment vertical="top"/>
      <protection locked="0"/>
    </xf>
    <xf numFmtId="0" fontId="3" fillId="2" borderId="8" xfId="0" applyFont="1" applyFill="1" applyBorder="1" applyAlignment="1" applyProtection="1">
      <alignment vertical="top" wrapText="1"/>
      <protection locked="0"/>
    </xf>
    <xf numFmtId="0" fontId="3" fillId="2" borderId="6" xfId="0" applyFont="1" applyFill="1" applyBorder="1" applyAlignment="1" applyProtection="1">
      <alignment horizontal="right" vertical="top"/>
      <protection locked="0"/>
    </xf>
    <xf numFmtId="0" fontId="3" fillId="2" borderId="10" xfId="0" applyFont="1" applyFill="1" applyBorder="1" applyAlignment="1" applyProtection="1">
      <alignment vertical="top"/>
      <protection locked="0"/>
    </xf>
    <xf numFmtId="0" fontId="3" fillId="2" borderId="6" xfId="0" applyFont="1" applyFill="1" applyBorder="1" applyAlignment="1" applyProtection="1">
      <alignment horizontal="left" vertical="top"/>
      <protection locked="0"/>
    </xf>
    <xf numFmtId="0" fontId="3" fillId="2" borderId="18" xfId="0" applyFont="1" applyFill="1" applyBorder="1" applyAlignment="1" applyProtection="1">
      <alignment vertical="top"/>
      <protection locked="0"/>
    </xf>
    <xf numFmtId="0" fontId="3" fillId="0" borderId="18" xfId="0" applyFont="1" applyBorder="1" applyAlignment="1" applyProtection="1">
      <alignment vertical="top"/>
      <protection locked="0"/>
    </xf>
    <xf numFmtId="0" fontId="3" fillId="0" borderId="33" xfId="0" applyFont="1" applyBorder="1" applyAlignment="1" applyProtection="1">
      <alignment vertical="top"/>
      <protection locked="0"/>
    </xf>
    <xf numFmtId="0" fontId="3" fillId="0" borderId="2" xfId="0" applyFont="1" applyBorder="1" applyAlignment="1" applyProtection="1">
      <alignment vertical="top" wrapText="1"/>
      <protection locked="0"/>
    </xf>
    <xf numFmtId="0" fontId="3" fillId="2" borderId="9" xfId="0" applyFont="1" applyFill="1" applyBorder="1" applyAlignment="1" applyProtection="1">
      <alignment vertical="top"/>
      <protection locked="0"/>
    </xf>
    <xf numFmtId="0" fontId="3" fillId="2" borderId="0" xfId="0" applyFont="1" applyFill="1" applyAlignment="1" applyProtection="1">
      <alignment vertical="top"/>
      <protection locked="0"/>
    </xf>
    <xf numFmtId="0" fontId="3" fillId="2" borderId="12" xfId="0" applyFont="1" applyFill="1" applyBorder="1" applyAlignment="1" applyProtection="1">
      <alignment vertical="top"/>
      <protection locked="0"/>
    </xf>
    <xf numFmtId="0" fontId="3" fillId="0" borderId="12" xfId="0" applyFont="1" applyBorder="1" applyAlignment="1" applyProtection="1">
      <alignment vertical="top"/>
      <protection locked="0"/>
    </xf>
    <xf numFmtId="0" fontId="3" fillId="0" borderId="27" xfId="0" applyFont="1" applyBorder="1" applyAlignment="1" applyProtection="1">
      <alignment vertical="top"/>
      <protection locked="0"/>
    </xf>
    <xf numFmtId="0" fontId="3" fillId="0" borderId="4" xfId="0" applyFont="1" applyBorder="1" applyAlignment="1" applyProtection="1">
      <alignment vertical="top" wrapText="1"/>
      <protection locked="0"/>
    </xf>
    <xf numFmtId="0" fontId="3" fillId="2" borderId="51" xfId="0" applyFont="1" applyFill="1" applyBorder="1" applyAlignment="1" applyProtection="1">
      <alignment vertical="top"/>
      <protection locked="0"/>
    </xf>
    <xf numFmtId="182" fontId="3" fillId="2" borderId="51" xfId="0" applyNumberFormat="1" applyFont="1" applyFill="1" applyBorder="1" applyAlignment="1" applyProtection="1">
      <alignment vertical="top"/>
      <protection locked="0"/>
    </xf>
    <xf numFmtId="0" fontId="11" fillId="0" borderId="4" xfId="0" applyFont="1" applyBorder="1" applyAlignment="1" applyProtection="1">
      <alignment vertical="top" wrapText="1"/>
      <protection locked="0"/>
    </xf>
    <xf numFmtId="0" fontId="11" fillId="0" borderId="0" xfId="0" applyFont="1" applyAlignment="1" applyProtection="1">
      <alignment vertical="top" wrapText="1"/>
      <protection locked="0"/>
    </xf>
    <xf numFmtId="0" fontId="3" fillId="2" borderId="21" xfId="0" applyFont="1" applyFill="1" applyBorder="1" applyAlignment="1" applyProtection="1">
      <alignment vertical="top"/>
      <protection locked="0"/>
    </xf>
    <xf numFmtId="0" fontId="3" fillId="2" borderId="26" xfId="0" applyFont="1" applyFill="1" applyBorder="1" applyAlignment="1" applyProtection="1">
      <alignment vertical="top"/>
      <protection locked="0"/>
    </xf>
    <xf numFmtId="0" fontId="3" fillId="2" borderId="71" xfId="0" applyFont="1" applyFill="1" applyBorder="1" applyAlignment="1" applyProtection="1">
      <alignment vertical="top"/>
      <protection locked="0"/>
    </xf>
    <xf numFmtId="182" fontId="3" fillId="2" borderId="30" xfId="0" applyNumberFormat="1" applyFont="1" applyFill="1" applyBorder="1" applyAlignment="1" applyProtection="1">
      <alignment vertical="top"/>
      <protection locked="0"/>
    </xf>
    <xf numFmtId="49" fontId="3" fillId="0" borderId="0" xfId="0" applyNumberFormat="1" applyFont="1" applyAlignment="1" applyProtection="1">
      <alignment vertical="top"/>
      <protection locked="0"/>
    </xf>
    <xf numFmtId="0" fontId="3" fillId="2" borderId="4" xfId="0" applyFont="1" applyFill="1" applyBorder="1" applyAlignment="1" applyProtection="1">
      <alignment vertical="top"/>
      <protection locked="0"/>
    </xf>
    <xf numFmtId="0" fontId="3" fillId="2" borderId="13" xfId="0" applyFont="1" applyFill="1" applyBorder="1" applyAlignment="1" applyProtection="1">
      <alignment vertical="top"/>
      <protection locked="0"/>
    </xf>
    <xf numFmtId="0" fontId="3" fillId="0" borderId="13" xfId="0" applyFont="1" applyBorder="1" applyAlignment="1" applyProtection="1">
      <alignment vertical="top"/>
      <protection locked="0"/>
    </xf>
    <xf numFmtId="0" fontId="3" fillId="0" borderId="22" xfId="0" applyFont="1" applyBorder="1" applyAlignment="1" applyProtection="1">
      <alignment vertical="top"/>
      <protection locked="0"/>
    </xf>
    <xf numFmtId="0" fontId="3" fillId="0" borderId="1" xfId="0" applyFont="1" applyBorder="1" applyAlignment="1" applyProtection="1">
      <alignment vertical="top"/>
      <protection locked="0"/>
    </xf>
    <xf numFmtId="0" fontId="3" fillId="11" borderId="6" xfId="0" applyFont="1" applyFill="1" applyBorder="1" applyAlignment="1" applyProtection="1">
      <alignment vertical="top"/>
      <protection locked="0"/>
    </xf>
    <xf numFmtId="182" fontId="3" fillId="11" borderId="3" xfId="0" applyNumberFormat="1" applyFont="1" applyFill="1" applyBorder="1" applyAlignment="1" applyProtection="1">
      <alignment vertical="top"/>
      <protection locked="0"/>
    </xf>
    <xf numFmtId="182" fontId="3" fillId="2" borderId="1" xfId="0" applyNumberFormat="1" applyFont="1" applyFill="1" applyBorder="1" applyAlignment="1" applyProtection="1">
      <alignment vertical="top"/>
      <protection locked="0"/>
    </xf>
    <xf numFmtId="0" fontId="3" fillId="0" borderId="9" xfId="0" applyFont="1" applyBorder="1" applyAlignment="1" applyProtection="1">
      <alignment vertical="top"/>
      <protection locked="0"/>
    </xf>
    <xf numFmtId="0" fontId="3" fillId="0" borderId="2" xfId="0" applyFont="1" applyBorder="1" applyAlignment="1" applyProtection="1">
      <alignment vertical="top"/>
      <protection locked="0"/>
    </xf>
    <xf numFmtId="0" fontId="3" fillId="0" borderId="4" xfId="0" applyFont="1" applyBorder="1" applyAlignment="1" applyProtection="1">
      <alignment vertical="top"/>
      <protection locked="0"/>
    </xf>
    <xf numFmtId="0" fontId="3" fillId="2" borderId="6" xfId="0" applyFont="1" applyFill="1" applyBorder="1" applyAlignment="1" applyProtection="1">
      <alignment vertical="top" wrapText="1"/>
      <protection locked="0"/>
    </xf>
    <xf numFmtId="182" fontId="3" fillId="0" borderId="0" xfId="0" applyNumberFormat="1" applyFont="1" applyAlignment="1" applyProtection="1">
      <alignment horizontal="right" vertical="top"/>
      <protection locked="0"/>
    </xf>
    <xf numFmtId="0" fontId="3" fillId="2" borderId="20" xfId="0" applyFont="1" applyFill="1" applyBorder="1" applyAlignment="1" applyProtection="1">
      <alignment vertical="top"/>
      <protection locked="0"/>
    </xf>
    <xf numFmtId="0" fontId="3" fillId="2" borderId="8" xfId="0" applyFont="1" applyFill="1" applyBorder="1" applyAlignment="1" applyProtection="1">
      <alignment vertical="top"/>
      <protection locked="0"/>
    </xf>
    <xf numFmtId="0" fontId="3" fillId="2" borderId="20" xfId="0" applyFont="1" applyFill="1" applyBorder="1" applyAlignment="1" applyProtection="1">
      <alignment vertical="top" wrapText="1"/>
      <protection locked="0"/>
    </xf>
    <xf numFmtId="0" fontId="3" fillId="0" borderId="0" xfId="0" applyFont="1" applyAlignment="1" applyProtection="1">
      <alignment horizontal="right" vertical="top"/>
      <protection locked="0"/>
    </xf>
    <xf numFmtId="0" fontId="3" fillId="2" borderId="53" xfId="0" applyFont="1" applyFill="1" applyBorder="1" applyAlignment="1" applyProtection="1">
      <alignment vertical="top"/>
      <protection locked="0"/>
    </xf>
    <xf numFmtId="0" fontId="3" fillId="2" borderId="21" xfId="0" applyFont="1" applyFill="1" applyBorder="1" applyAlignment="1" applyProtection="1">
      <alignment horizontal="left" vertical="top"/>
      <protection locked="0"/>
    </xf>
    <xf numFmtId="0" fontId="3" fillId="2" borderId="31" xfId="0" applyFont="1" applyFill="1" applyBorder="1" applyAlignment="1" applyProtection="1">
      <alignment horizontal="left" vertical="top"/>
      <protection locked="0"/>
    </xf>
    <xf numFmtId="0" fontId="3" fillId="2" borderId="53" xfId="0" applyFont="1" applyFill="1" applyBorder="1" applyAlignment="1" applyProtection="1">
      <alignment horizontal="left" vertical="top" wrapText="1"/>
      <protection locked="0"/>
    </xf>
    <xf numFmtId="0" fontId="3" fillId="2" borderId="31" xfId="0" applyFont="1" applyFill="1" applyBorder="1" applyAlignment="1" applyProtection="1">
      <alignment horizontal="left" vertical="top" wrapText="1"/>
      <protection locked="0"/>
    </xf>
    <xf numFmtId="0" fontId="3" fillId="2" borderId="14" xfId="0" applyFont="1" applyFill="1" applyBorder="1" applyAlignment="1" applyProtection="1">
      <alignment vertical="top"/>
      <protection locked="0"/>
    </xf>
    <xf numFmtId="0" fontId="3" fillId="0" borderId="7" xfId="0" applyFont="1" applyBorder="1" applyAlignment="1" applyProtection="1">
      <alignment vertical="top"/>
      <protection locked="0"/>
    </xf>
    <xf numFmtId="0" fontId="3" fillId="0" borderId="8" xfId="0" applyFont="1" applyBorder="1" applyAlignment="1" applyProtection="1">
      <alignment vertical="top" wrapText="1"/>
      <protection locked="0"/>
    </xf>
    <xf numFmtId="180" fontId="3" fillId="0" borderId="19" xfId="0" applyNumberFormat="1" applyFont="1" applyBorder="1" applyAlignment="1" applyProtection="1">
      <alignment horizontal="left" vertical="top" shrinkToFit="1"/>
      <protection locked="0"/>
    </xf>
    <xf numFmtId="0" fontId="3" fillId="0" borderId="28" xfId="0" applyFont="1" applyBorder="1" applyAlignment="1" applyProtection="1">
      <alignment horizontal="left" vertical="top"/>
      <protection locked="0"/>
    </xf>
    <xf numFmtId="0" fontId="3" fillId="2" borderId="18" xfId="0" applyFont="1" applyFill="1" applyBorder="1" applyAlignment="1" applyProtection="1">
      <alignment vertical="top" wrapText="1"/>
      <protection locked="0"/>
    </xf>
    <xf numFmtId="180" fontId="3" fillId="0" borderId="19" xfId="0" applyNumberFormat="1" applyFont="1" applyBorder="1" applyAlignment="1" applyProtection="1">
      <alignment vertical="top"/>
      <protection locked="0"/>
    </xf>
    <xf numFmtId="180" fontId="3" fillId="0" borderId="0" xfId="0" applyNumberFormat="1" applyFont="1" applyAlignment="1" applyProtection="1">
      <alignment vertical="top"/>
      <protection locked="0"/>
    </xf>
    <xf numFmtId="9" fontId="3" fillId="0" borderId="0" xfId="0" applyNumberFormat="1" applyFont="1" applyAlignment="1" applyProtection="1">
      <alignment vertical="top"/>
      <protection locked="0"/>
    </xf>
    <xf numFmtId="181" fontId="3" fillId="0" borderId="0" xfId="0" applyNumberFormat="1" applyFont="1" applyAlignment="1" applyProtection="1">
      <alignment vertical="top"/>
      <protection locked="0"/>
    </xf>
    <xf numFmtId="0" fontId="3" fillId="0" borderId="15" xfId="0" applyFont="1" applyBorder="1" applyAlignment="1" applyProtection="1">
      <alignment horizontal="left" vertical="top" shrinkToFit="1"/>
      <protection locked="0"/>
    </xf>
    <xf numFmtId="0" fontId="3" fillId="0" borderId="4" xfId="0" applyFont="1" applyBorder="1" applyAlignment="1" applyProtection="1">
      <alignment horizontal="left" vertical="top"/>
      <protection locked="0"/>
    </xf>
    <xf numFmtId="0" fontId="3" fillId="2" borderId="12" xfId="0" applyFont="1" applyFill="1" applyBorder="1" applyAlignment="1" applyProtection="1">
      <alignment vertical="top" wrapText="1"/>
      <protection locked="0"/>
    </xf>
    <xf numFmtId="0" fontId="3" fillId="0" borderId="17" xfId="0" applyFont="1" applyBorder="1" applyAlignment="1" applyProtection="1">
      <alignment horizontal="left" vertical="top" shrinkToFit="1"/>
      <protection locked="0"/>
    </xf>
    <xf numFmtId="0" fontId="3" fillId="0" borderId="29" xfId="0" applyFont="1" applyBorder="1" applyAlignment="1" applyProtection="1">
      <alignment horizontal="left" vertical="top"/>
      <protection locked="0"/>
    </xf>
    <xf numFmtId="0" fontId="3" fillId="2" borderId="34" xfId="0" applyFont="1" applyFill="1" applyBorder="1" applyAlignment="1" applyProtection="1">
      <alignment vertical="top" wrapText="1"/>
      <protection locked="0"/>
    </xf>
    <xf numFmtId="0" fontId="3" fillId="0" borderId="34" xfId="0" applyFont="1" applyBorder="1" applyAlignment="1" applyProtection="1">
      <alignment vertical="top"/>
      <protection locked="0"/>
    </xf>
    <xf numFmtId="178" fontId="3" fillId="2" borderId="3" xfId="0" applyNumberFormat="1" applyFont="1" applyFill="1" applyBorder="1" applyAlignment="1" applyProtection="1">
      <alignment vertical="top"/>
      <protection locked="0"/>
    </xf>
    <xf numFmtId="178" fontId="3" fillId="2" borderId="3" xfId="0" applyNumberFormat="1" applyFont="1" applyFill="1" applyBorder="1" applyAlignment="1" applyProtection="1">
      <alignment horizontal="right" vertical="top"/>
      <protection locked="0"/>
    </xf>
    <xf numFmtId="183" fontId="3" fillId="0" borderId="0" xfId="0" applyNumberFormat="1" applyFont="1" applyAlignment="1" applyProtection="1">
      <alignment vertical="top"/>
      <protection locked="0"/>
    </xf>
    <xf numFmtId="185" fontId="3" fillId="0" borderId="0" xfId="0" applyNumberFormat="1" applyFont="1" applyAlignment="1" applyProtection="1">
      <alignment vertical="top"/>
      <protection locked="0"/>
    </xf>
    <xf numFmtId="182" fontId="2" fillId="0" borderId="0" xfId="0" applyNumberFormat="1" applyFont="1" applyAlignment="1" applyProtection="1">
      <alignment vertical="top"/>
      <protection locked="0"/>
    </xf>
    <xf numFmtId="49" fontId="2" fillId="0" borderId="0" xfId="0" applyNumberFormat="1" applyFont="1" applyAlignment="1" applyProtection="1">
      <alignment vertical="top"/>
      <protection locked="0"/>
    </xf>
    <xf numFmtId="0" fontId="3" fillId="2" borderId="7" xfId="0" applyFont="1" applyFill="1" applyBorder="1" applyAlignment="1" applyProtection="1">
      <alignment vertical="top" wrapText="1"/>
      <protection locked="0"/>
    </xf>
    <xf numFmtId="0" fontId="3" fillId="2" borderId="33" xfId="0" applyFont="1" applyFill="1" applyBorder="1" applyAlignment="1" applyProtection="1">
      <alignment horizontal="center" vertical="top" wrapText="1"/>
      <protection locked="0"/>
    </xf>
    <xf numFmtId="0" fontId="3" fillId="2" borderId="33" xfId="0" applyFont="1" applyFill="1" applyBorder="1" applyAlignment="1" applyProtection="1">
      <alignment vertical="top" wrapText="1"/>
      <protection locked="0"/>
    </xf>
    <xf numFmtId="182" fontId="3" fillId="2" borderId="33" xfId="0" applyNumberFormat="1" applyFont="1" applyFill="1" applyBorder="1" applyAlignment="1" applyProtection="1">
      <alignment vertical="top" wrapText="1"/>
      <protection locked="0"/>
    </xf>
    <xf numFmtId="0" fontId="3" fillId="2" borderId="2" xfId="0" applyFont="1" applyFill="1" applyBorder="1" applyAlignment="1" applyProtection="1">
      <alignment vertical="top" wrapText="1"/>
      <protection locked="0"/>
    </xf>
    <xf numFmtId="0" fontId="3" fillId="5" borderId="18" xfId="0" applyFont="1" applyFill="1" applyBorder="1" applyAlignment="1" applyProtection="1">
      <alignment vertical="top" wrapText="1"/>
      <protection locked="0"/>
    </xf>
    <xf numFmtId="0" fontId="3" fillId="5" borderId="33" xfId="0" applyFont="1" applyFill="1" applyBorder="1" applyAlignment="1" applyProtection="1">
      <alignment vertical="top" wrapText="1"/>
      <protection locked="0"/>
    </xf>
    <xf numFmtId="182" fontId="3" fillId="5" borderId="33" xfId="0" applyNumberFormat="1" applyFont="1" applyFill="1" applyBorder="1" applyAlignment="1" applyProtection="1">
      <alignment vertical="top" wrapText="1"/>
      <protection locked="0"/>
    </xf>
    <xf numFmtId="49" fontId="3" fillId="5" borderId="2" xfId="0" applyNumberFormat="1" applyFont="1" applyFill="1" applyBorder="1" applyAlignment="1" applyProtection="1">
      <alignment vertical="top" wrapText="1"/>
      <protection locked="0"/>
    </xf>
    <xf numFmtId="182" fontId="3" fillId="3" borderId="18" xfId="0" applyNumberFormat="1" applyFont="1" applyFill="1" applyBorder="1" applyAlignment="1" applyProtection="1">
      <alignment vertical="top" wrapText="1"/>
      <protection locked="0"/>
    </xf>
    <xf numFmtId="0" fontId="3" fillId="3" borderId="2" xfId="0" applyFont="1" applyFill="1" applyBorder="1" applyAlignment="1" applyProtection="1">
      <alignment vertical="top" wrapText="1"/>
      <protection locked="0"/>
    </xf>
    <xf numFmtId="0" fontId="3" fillId="7" borderId="18" xfId="0" applyFont="1" applyFill="1" applyBorder="1" applyAlignment="1" applyProtection="1">
      <alignment vertical="top"/>
      <protection locked="0"/>
    </xf>
    <xf numFmtId="0" fontId="3" fillId="7" borderId="2" xfId="0" applyFont="1" applyFill="1" applyBorder="1" applyAlignment="1" applyProtection="1">
      <alignment vertical="top"/>
      <protection locked="0"/>
    </xf>
    <xf numFmtId="0" fontId="3" fillId="13" borderId="46" xfId="0" applyFont="1" applyFill="1" applyBorder="1" applyAlignment="1" applyProtection="1">
      <alignment vertical="top" wrapText="1"/>
      <protection locked="0"/>
    </xf>
    <xf numFmtId="0" fontId="3" fillId="13" borderId="33" xfId="0" applyFont="1" applyFill="1" applyBorder="1" applyAlignment="1" applyProtection="1">
      <alignment vertical="top" wrapText="1"/>
      <protection locked="0"/>
    </xf>
    <xf numFmtId="0" fontId="3" fillId="2" borderId="21" xfId="0" applyFont="1" applyFill="1" applyBorder="1" applyAlignment="1" applyProtection="1">
      <alignment vertical="top" wrapText="1"/>
      <protection locked="0"/>
    </xf>
    <xf numFmtId="0" fontId="3" fillId="2" borderId="24" xfId="0" applyFont="1" applyFill="1" applyBorder="1" applyAlignment="1" applyProtection="1">
      <alignment vertical="top" wrapText="1"/>
      <protection locked="0"/>
    </xf>
    <xf numFmtId="0" fontId="3" fillId="2" borderId="25" xfId="0" applyFont="1" applyFill="1" applyBorder="1" applyAlignment="1" applyProtection="1">
      <alignment vertical="top" wrapText="1"/>
      <protection locked="0"/>
    </xf>
    <xf numFmtId="0" fontId="3" fillId="2" borderId="37" xfId="0" applyFont="1" applyFill="1" applyBorder="1" applyAlignment="1" applyProtection="1">
      <alignment vertical="top" wrapText="1"/>
      <protection locked="0"/>
    </xf>
    <xf numFmtId="182" fontId="3" fillId="2" borderId="38" xfId="0" applyNumberFormat="1" applyFont="1" applyFill="1" applyBorder="1" applyAlignment="1" applyProtection="1">
      <alignment vertical="top" wrapText="1"/>
      <protection locked="0"/>
    </xf>
    <xf numFmtId="0" fontId="3" fillId="2" borderId="39" xfId="0" applyFont="1" applyFill="1" applyBorder="1" applyAlignment="1" applyProtection="1">
      <alignment vertical="top" wrapText="1"/>
      <protection locked="0"/>
    </xf>
    <xf numFmtId="0" fontId="3" fillId="5" borderId="40" xfId="0" applyFont="1" applyFill="1" applyBorder="1" applyAlignment="1" applyProtection="1">
      <alignment vertical="top" wrapText="1"/>
      <protection locked="0"/>
    </xf>
    <xf numFmtId="0" fontId="3" fillId="5" borderId="37" xfId="0" applyFont="1" applyFill="1" applyBorder="1" applyAlignment="1" applyProtection="1">
      <alignment vertical="top" wrapText="1"/>
      <protection locked="0"/>
    </xf>
    <xf numFmtId="182" fontId="3" fillId="5" borderId="38" xfId="0" applyNumberFormat="1" applyFont="1" applyFill="1" applyBorder="1" applyAlignment="1" applyProtection="1">
      <alignment vertical="top" wrapText="1"/>
      <protection locked="0"/>
    </xf>
    <xf numFmtId="0" fontId="3" fillId="5" borderId="38" xfId="0" applyFont="1" applyFill="1" applyBorder="1" applyAlignment="1" applyProtection="1">
      <alignment vertical="top" wrapText="1"/>
      <protection locked="0"/>
    </xf>
    <xf numFmtId="49" fontId="3" fillId="5" borderId="39" xfId="0" applyNumberFormat="1" applyFont="1" applyFill="1" applyBorder="1" applyAlignment="1" applyProtection="1">
      <alignment vertical="top" wrapText="1"/>
      <protection locked="0"/>
    </xf>
    <xf numFmtId="182" fontId="3" fillId="3" borderId="21" xfId="0" applyNumberFormat="1" applyFont="1" applyFill="1" applyBorder="1" applyAlignment="1" applyProtection="1">
      <alignment vertical="top" wrapText="1"/>
      <protection locked="0"/>
    </xf>
    <xf numFmtId="0" fontId="3" fillId="3" borderId="39" xfId="0" applyFont="1" applyFill="1" applyBorder="1" applyAlignment="1" applyProtection="1">
      <alignment vertical="top" wrapText="1"/>
      <protection locked="0"/>
    </xf>
    <xf numFmtId="0" fontId="3" fillId="7" borderId="36" xfId="0" applyFont="1" applyFill="1" applyBorder="1" applyAlignment="1" applyProtection="1">
      <alignment vertical="top" wrapText="1"/>
      <protection locked="0"/>
    </xf>
    <xf numFmtId="0" fontId="3" fillId="7" borderId="26" xfId="0" applyFont="1" applyFill="1" applyBorder="1" applyAlignment="1" applyProtection="1">
      <alignment vertical="top" wrapText="1"/>
      <protection locked="0"/>
    </xf>
    <xf numFmtId="0" fontId="3" fillId="13" borderId="25" xfId="0" applyFont="1" applyFill="1" applyBorder="1" applyAlignment="1" applyProtection="1">
      <alignment vertical="top" wrapText="1"/>
      <protection locked="0"/>
    </xf>
    <xf numFmtId="0" fontId="3" fillId="14" borderId="13" xfId="0" applyFont="1" applyFill="1" applyBorder="1" applyAlignment="1" applyProtection="1">
      <alignment vertical="top" wrapText="1"/>
      <protection locked="0"/>
    </xf>
    <xf numFmtId="0" fontId="3" fillId="14" borderId="26" xfId="0" applyFont="1" applyFill="1" applyBorder="1" applyAlignment="1" applyProtection="1">
      <alignment vertical="top" wrapText="1"/>
      <protection locked="0"/>
    </xf>
    <xf numFmtId="0" fontId="3" fillId="0" borderId="45" xfId="0" applyFont="1" applyBorder="1" applyAlignment="1" applyProtection="1">
      <alignment horizontal="center" vertical="top" wrapText="1"/>
      <protection locked="0"/>
    </xf>
    <xf numFmtId="0" fontId="3" fillId="0" borderId="46" xfId="0" applyFont="1" applyBorder="1" applyAlignment="1" applyProtection="1">
      <alignment horizontal="center" vertical="top" wrapText="1"/>
      <protection locked="0"/>
    </xf>
    <xf numFmtId="0" fontId="3" fillId="0" borderId="47" xfId="0" applyFont="1" applyBorder="1" applyAlignment="1" applyProtection="1">
      <alignment vertical="top" wrapText="1"/>
      <protection locked="0"/>
    </xf>
    <xf numFmtId="182" fontId="3" fillId="0" borderId="46" xfId="0" applyNumberFormat="1" applyFont="1" applyBorder="1" applyAlignment="1" applyProtection="1">
      <alignment vertical="top" wrapText="1"/>
      <protection locked="0"/>
    </xf>
    <xf numFmtId="0" fontId="3" fillId="0" borderId="48" xfId="0" applyFont="1" applyBorder="1" applyAlignment="1" applyProtection="1">
      <alignment vertical="top" wrapText="1"/>
      <protection locked="0"/>
    </xf>
    <xf numFmtId="0" fontId="3" fillId="0" borderId="49" xfId="0" applyFont="1" applyBorder="1" applyAlignment="1" applyProtection="1">
      <alignment horizontal="center" vertical="top"/>
      <protection locked="0"/>
    </xf>
    <xf numFmtId="182" fontId="3" fillId="0" borderId="47" xfId="0" applyNumberFormat="1" applyFont="1" applyBorder="1" applyAlignment="1" applyProtection="1">
      <alignment vertical="top" wrapText="1"/>
      <protection locked="0"/>
    </xf>
    <xf numFmtId="0" fontId="3" fillId="0" borderId="46" xfId="0" applyFont="1" applyBorder="1" applyAlignment="1" applyProtection="1">
      <alignment vertical="top" wrapText="1"/>
      <protection locked="0"/>
    </xf>
    <xf numFmtId="49" fontId="3" fillId="0" borderId="48" xfId="0" applyNumberFormat="1" applyFont="1" applyBorder="1" applyAlignment="1" applyProtection="1">
      <alignment vertical="top" wrapText="1"/>
      <protection locked="0"/>
    </xf>
    <xf numFmtId="182" fontId="3" fillId="0" borderId="18" xfId="0" applyNumberFormat="1" applyFont="1" applyBorder="1" applyAlignment="1" applyProtection="1">
      <alignment vertical="top" wrapText="1"/>
      <protection locked="0"/>
    </xf>
    <xf numFmtId="187" fontId="3" fillId="0" borderId="54" xfId="0" applyNumberFormat="1" applyFont="1" applyBorder="1" applyAlignment="1" applyProtection="1">
      <alignment vertical="top"/>
      <protection locked="0"/>
    </xf>
    <xf numFmtId="0" fontId="3" fillId="0" borderId="61" xfId="0" applyFont="1" applyBorder="1" applyAlignment="1" applyProtection="1">
      <alignment vertical="top"/>
      <protection locked="0"/>
    </xf>
    <xf numFmtId="0" fontId="3" fillId="0" borderId="7" xfId="0" applyFont="1" applyBorder="1" applyAlignment="1" applyProtection="1">
      <alignment horizontal="center" vertical="top"/>
      <protection locked="0"/>
    </xf>
    <xf numFmtId="0" fontId="3" fillId="0" borderId="72" xfId="0" applyFont="1" applyBorder="1" applyAlignment="1" applyProtection="1">
      <alignment vertical="top" wrapText="1"/>
      <protection locked="0"/>
    </xf>
    <xf numFmtId="182" fontId="3" fillId="0" borderId="72" xfId="0" applyNumberFormat="1" applyFont="1" applyBorder="1" applyAlignment="1" applyProtection="1">
      <alignment vertical="top"/>
      <protection locked="0"/>
    </xf>
    <xf numFmtId="0" fontId="3" fillId="0" borderId="73" xfId="0" applyFont="1" applyBorder="1" applyAlignment="1" applyProtection="1">
      <alignment vertical="top"/>
      <protection locked="0"/>
    </xf>
    <xf numFmtId="182" fontId="3" fillId="0" borderId="63" xfId="0" applyNumberFormat="1" applyFont="1" applyBorder="1" applyAlignment="1" applyProtection="1">
      <alignment vertical="top"/>
      <protection locked="0"/>
    </xf>
    <xf numFmtId="0" fontId="3" fillId="0" borderId="8" xfId="0" applyFont="1" applyBorder="1" applyAlignment="1" applyProtection="1">
      <alignment vertical="top"/>
      <protection locked="0"/>
    </xf>
    <xf numFmtId="0" fontId="3" fillId="0" borderId="35" xfId="0" applyFont="1" applyBorder="1" applyAlignment="1" applyProtection="1">
      <alignment horizontal="center" vertical="top" wrapText="1"/>
      <protection locked="0"/>
    </xf>
    <xf numFmtId="0" fontId="3" fillId="0" borderId="50" xfId="0" applyFont="1" applyBorder="1" applyAlignment="1" applyProtection="1">
      <alignment horizontal="center" vertical="top" wrapText="1"/>
      <protection locked="0"/>
    </xf>
    <xf numFmtId="0" fontId="3" fillId="0" borderId="23" xfId="0" applyFont="1" applyBorder="1" applyAlignment="1" applyProtection="1">
      <alignment vertical="top" wrapText="1"/>
      <protection locked="0"/>
    </xf>
    <xf numFmtId="182" fontId="3" fillId="0" borderId="50" xfId="0" applyNumberFormat="1" applyFont="1" applyBorder="1" applyAlignment="1" applyProtection="1">
      <alignment vertical="top" wrapText="1"/>
      <protection locked="0"/>
    </xf>
    <xf numFmtId="0" fontId="3" fillId="0" borderId="51" xfId="0" applyFont="1" applyBorder="1" applyAlignment="1" applyProtection="1">
      <alignment vertical="top" wrapText="1"/>
      <protection locked="0"/>
    </xf>
    <xf numFmtId="0" fontId="3" fillId="0" borderId="52" xfId="0" applyFont="1" applyBorder="1" applyAlignment="1" applyProtection="1">
      <alignment horizontal="center" vertical="top"/>
      <protection locked="0"/>
    </xf>
    <xf numFmtId="182" fontId="3" fillId="0" borderId="23" xfId="0" applyNumberFormat="1" applyFont="1" applyBorder="1" applyAlignment="1" applyProtection="1">
      <alignment vertical="top" wrapText="1"/>
      <protection locked="0"/>
    </xf>
    <xf numFmtId="0" fontId="3" fillId="0" borderId="50" xfId="0" applyFont="1" applyBorder="1" applyAlignment="1" applyProtection="1">
      <alignment vertical="top" wrapText="1"/>
      <protection locked="0"/>
    </xf>
    <xf numFmtId="49" fontId="3" fillId="0" borderId="51" xfId="0" applyNumberFormat="1" applyFont="1" applyBorder="1" applyAlignment="1" applyProtection="1">
      <alignment vertical="top" wrapText="1"/>
      <protection locked="0"/>
    </xf>
    <xf numFmtId="182" fontId="3" fillId="0" borderId="12" xfId="0" applyNumberFormat="1" applyFont="1" applyBorder="1" applyAlignment="1" applyProtection="1">
      <alignment vertical="top" wrapText="1"/>
      <protection locked="0"/>
    </xf>
    <xf numFmtId="187" fontId="3" fillId="0" borderId="35" xfId="0" applyNumberFormat="1" applyFont="1" applyBorder="1" applyAlignment="1" applyProtection="1">
      <alignment vertical="top"/>
      <protection locked="0"/>
    </xf>
    <xf numFmtId="14" fontId="3" fillId="0" borderId="51" xfId="0" applyNumberFormat="1" applyFont="1" applyBorder="1" applyAlignment="1" applyProtection="1">
      <alignment vertical="top"/>
      <protection locked="0"/>
    </xf>
    <xf numFmtId="0" fontId="3" fillId="0" borderId="12" xfId="0" applyFont="1" applyBorder="1" applyAlignment="1" applyProtection="1">
      <alignment horizontal="center" vertical="top"/>
      <protection locked="0"/>
    </xf>
    <xf numFmtId="182" fontId="3" fillId="0" borderId="23" xfId="0" applyNumberFormat="1" applyFont="1" applyBorder="1" applyAlignment="1" applyProtection="1">
      <alignment vertical="top"/>
      <protection locked="0"/>
    </xf>
    <xf numFmtId="0" fontId="3" fillId="0" borderId="51" xfId="0" applyFont="1" applyBorder="1" applyAlignment="1" applyProtection="1">
      <alignment vertical="top"/>
      <protection locked="0"/>
    </xf>
    <xf numFmtId="182" fontId="3" fillId="0" borderId="52" xfId="0" applyNumberFormat="1" applyFont="1" applyBorder="1" applyAlignment="1" applyProtection="1">
      <alignment vertical="top"/>
      <protection locked="0"/>
    </xf>
    <xf numFmtId="0" fontId="3" fillId="0" borderId="54" xfId="0" applyFont="1" applyBorder="1" applyAlignment="1" applyProtection="1">
      <alignment horizontal="center" vertical="top" wrapText="1"/>
      <protection locked="0"/>
    </xf>
    <xf numFmtId="0" fontId="3" fillId="0" borderId="60" xfId="0" applyFont="1" applyBorder="1" applyAlignment="1" applyProtection="1">
      <alignment horizontal="center" vertical="top" wrapText="1"/>
      <protection locked="0"/>
    </xf>
    <xf numFmtId="0" fontId="3" fillId="0" borderId="59" xfId="0" applyFont="1" applyBorder="1" applyAlignment="1" applyProtection="1">
      <alignment vertical="top" wrapText="1"/>
      <protection locked="0"/>
    </xf>
    <xf numFmtId="182" fontId="3" fillId="0" borderId="60" xfId="0" applyNumberFormat="1" applyFont="1" applyBorder="1" applyAlignment="1" applyProtection="1">
      <alignment vertical="top" wrapText="1"/>
      <protection locked="0"/>
    </xf>
    <xf numFmtId="0" fontId="3" fillId="0" borderId="62" xfId="0" applyFont="1" applyBorder="1" applyAlignment="1" applyProtection="1">
      <alignment horizontal="center" vertical="top"/>
      <protection locked="0"/>
    </xf>
    <xf numFmtId="0" fontId="3" fillId="0" borderId="60" xfId="0" applyFont="1" applyBorder="1" applyAlignment="1" applyProtection="1">
      <alignment vertical="top" wrapText="1"/>
      <protection locked="0"/>
    </xf>
    <xf numFmtId="49" fontId="3" fillId="0" borderId="61" xfId="0" applyNumberFormat="1" applyFont="1" applyBorder="1" applyAlignment="1" applyProtection="1">
      <alignment vertical="top" wrapText="1"/>
      <protection locked="0"/>
    </xf>
    <xf numFmtId="182" fontId="3" fillId="0" borderId="42" xfId="0" applyNumberFormat="1" applyFont="1" applyBorder="1" applyAlignment="1" applyProtection="1">
      <alignment vertical="top" wrapText="1"/>
      <protection locked="0"/>
    </xf>
    <xf numFmtId="0" fontId="3" fillId="0" borderId="34" xfId="0" applyFont="1" applyBorder="1" applyAlignment="1" applyProtection="1">
      <alignment horizontal="center" vertical="top"/>
      <protection locked="0"/>
    </xf>
    <xf numFmtId="0" fontId="3" fillId="0" borderId="75" xfId="0" applyFont="1" applyBorder="1" applyAlignment="1" applyProtection="1">
      <alignment vertical="top" wrapText="1"/>
      <protection locked="0"/>
    </xf>
    <xf numFmtId="182" fontId="3" fillId="0" borderId="75" xfId="0" applyNumberFormat="1" applyFont="1" applyBorder="1" applyAlignment="1" applyProtection="1">
      <alignment vertical="top"/>
      <protection locked="0"/>
    </xf>
    <xf numFmtId="0" fontId="3" fillId="0" borderId="71" xfId="0" applyFont="1" applyBorder="1" applyAlignment="1" applyProtection="1">
      <alignment vertical="top"/>
      <protection locked="0"/>
    </xf>
    <xf numFmtId="182" fontId="3" fillId="0" borderId="76" xfId="0" applyNumberFormat="1" applyFont="1" applyBorder="1" applyAlignment="1" applyProtection="1">
      <alignment vertical="top"/>
      <protection locked="0"/>
    </xf>
    <xf numFmtId="0" fontId="3" fillId="0" borderId="29" xfId="0" applyFont="1" applyBorder="1" applyAlignment="1" applyProtection="1">
      <alignment vertical="top"/>
      <protection locked="0"/>
    </xf>
    <xf numFmtId="0" fontId="9" fillId="10" borderId="6" xfId="0" applyFont="1" applyFill="1" applyBorder="1" applyAlignment="1" applyProtection="1">
      <alignment vertical="top"/>
      <protection locked="0"/>
    </xf>
    <xf numFmtId="0" fontId="3" fillId="10" borderId="68" xfId="0" applyFont="1" applyFill="1" applyBorder="1" applyAlignment="1" applyProtection="1">
      <alignment horizontal="center" vertical="top" wrapText="1"/>
      <protection locked="0"/>
    </xf>
    <xf numFmtId="0" fontId="3" fillId="10" borderId="69" xfId="0" applyFont="1" applyFill="1" applyBorder="1" applyAlignment="1" applyProtection="1">
      <alignment horizontal="center" vertical="top" wrapText="1"/>
      <protection locked="0"/>
    </xf>
    <xf numFmtId="0" fontId="3" fillId="10" borderId="67" xfId="0" applyFont="1" applyFill="1" applyBorder="1" applyAlignment="1" applyProtection="1">
      <alignment vertical="top" wrapText="1"/>
      <protection locked="0"/>
    </xf>
    <xf numFmtId="0" fontId="3" fillId="10" borderId="70" xfId="0" applyFont="1" applyFill="1" applyBorder="1" applyAlignment="1" applyProtection="1">
      <alignment vertical="top" wrapText="1"/>
      <protection locked="0"/>
    </xf>
    <xf numFmtId="0" fontId="3" fillId="10" borderId="68" xfId="0" applyFont="1" applyFill="1" applyBorder="1" applyAlignment="1" applyProtection="1">
      <alignment vertical="top" wrapText="1"/>
      <protection locked="0"/>
    </xf>
    <xf numFmtId="182" fontId="3" fillId="10" borderId="69" xfId="0" applyNumberFormat="1" applyFont="1" applyFill="1" applyBorder="1" applyAlignment="1" applyProtection="1">
      <alignment vertical="top" wrapText="1"/>
      <protection locked="0"/>
    </xf>
    <xf numFmtId="0" fontId="3" fillId="10" borderId="66" xfId="0" applyFont="1" applyFill="1" applyBorder="1" applyAlignment="1" applyProtection="1">
      <alignment vertical="top" wrapText="1"/>
      <protection locked="0"/>
    </xf>
    <xf numFmtId="0" fontId="3" fillId="10" borderId="70" xfId="0" applyFont="1" applyFill="1" applyBorder="1" applyAlignment="1" applyProtection="1">
      <alignment horizontal="center" vertical="top"/>
      <protection locked="0"/>
    </xf>
    <xf numFmtId="0" fontId="3" fillId="10" borderId="69" xfId="0" applyFont="1" applyFill="1" applyBorder="1" applyAlignment="1" applyProtection="1">
      <alignment vertical="top" wrapText="1"/>
      <protection locked="0"/>
    </xf>
    <xf numFmtId="49" fontId="3" fillId="10" borderId="66" xfId="0" applyNumberFormat="1" applyFont="1" applyFill="1" applyBorder="1" applyAlignment="1" applyProtection="1">
      <alignment vertical="top" wrapText="1"/>
      <protection locked="0"/>
    </xf>
    <xf numFmtId="182" fontId="3" fillId="10" borderId="5" xfId="0" applyNumberFormat="1" applyFont="1" applyFill="1" applyBorder="1" applyAlignment="1" applyProtection="1">
      <alignment vertical="top" wrapText="1"/>
      <protection locked="0"/>
    </xf>
    <xf numFmtId="187" fontId="3" fillId="10" borderId="67" xfId="0" applyNumberFormat="1" applyFont="1" applyFill="1" applyBorder="1" applyAlignment="1" applyProtection="1">
      <alignment vertical="top"/>
      <protection locked="0"/>
    </xf>
    <xf numFmtId="0" fontId="3" fillId="10" borderId="66" xfId="0" applyFont="1" applyFill="1" applyBorder="1" applyAlignment="1" applyProtection="1">
      <alignment vertical="top"/>
      <protection locked="0"/>
    </xf>
    <xf numFmtId="0" fontId="3" fillId="10" borderId="6" xfId="0" applyFont="1" applyFill="1" applyBorder="1" applyAlignment="1" applyProtection="1">
      <alignment horizontal="center" vertical="top"/>
      <protection locked="0"/>
    </xf>
    <xf numFmtId="0" fontId="3" fillId="10" borderId="68" xfId="0" applyFont="1" applyFill="1" applyBorder="1" applyAlignment="1" applyProtection="1">
      <alignment vertical="top"/>
      <protection locked="0"/>
    </xf>
    <xf numFmtId="0" fontId="3" fillId="10" borderId="70" xfId="0" applyFont="1" applyFill="1" applyBorder="1" applyAlignment="1" applyProtection="1">
      <alignment vertical="top"/>
      <protection locked="0"/>
    </xf>
    <xf numFmtId="0" fontId="3" fillId="10" borderId="3" xfId="0" applyFont="1" applyFill="1" applyBorder="1" applyAlignment="1" applyProtection="1">
      <alignment vertical="top"/>
      <protection locked="0"/>
    </xf>
    <xf numFmtId="0" fontId="7" fillId="0" borderId="0" xfId="0" applyFont="1" applyAlignment="1" applyProtection="1">
      <alignment vertical="top"/>
      <protection locked="0"/>
    </xf>
    <xf numFmtId="182" fontId="7" fillId="0" borderId="0" xfId="0" applyNumberFormat="1" applyFont="1" applyAlignment="1" applyProtection="1">
      <alignment vertical="top"/>
      <protection locked="0"/>
    </xf>
    <xf numFmtId="49" fontId="7" fillId="0" borderId="0" xfId="0" applyNumberFormat="1" applyFont="1" applyAlignment="1" applyProtection="1">
      <alignment vertical="top"/>
      <protection locked="0"/>
    </xf>
    <xf numFmtId="0" fontId="3" fillId="0" borderId="11" xfId="0" applyFont="1" applyBorder="1" applyAlignment="1" applyProtection="1">
      <alignment vertical="top"/>
      <protection locked="0"/>
    </xf>
    <xf numFmtId="186" fontId="3" fillId="4" borderId="41" xfId="0" applyNumberFormat="1" applyFont="1" applyFill="1" applyBorder="1" applyAlignment="1">
      <alignment vertical="top"/>
    </xf>
    <xf numFmtId="186" fontId="3" fillId="4" borderId="15" xfId="0" applyNumberFormat="1" applyFont="1" applyFill="1" applyBorder="1" applyAlignment="1">
      <alignment vertical="top"/>
    </xf>
    <xf numFmtId="186" fontId="3" fillId="4" borderId="17" xfId="0" applyNumberFormat="1" applyFont="1" applyFill="1" applyBorder="1" applyAlignment="1">
      <alignment vertical="top"/>
    </xf>
    <xf numFmtId="176" fontId="3" fillId="4" borderId="53" xfId="0" applyNumberFormat="1" applyFont="1" applyFill="1" applyBorder="1" applyAlignment="1">
      <alignment vertical="top"/>
    </xf>
    <xf numFmtId="176" fontId="9" fillId="12" borderId="10" xfId="0" applyNumberFormat="1" applyFont="1" applyFill="1" applyBorder="1" applyAlignment="1">
      <alignment horizontal="center" vertical="top"/>
    </xf>
    <xf numFmtId="186" fontId="3" fillId="4" borderId="16" xfId="0" applyNumberFormat="1" applyFont="1" applyFill="1" applyBorder="1" applyAlignment="1">
      <alignment vertical="top"/>
    </xf>
    <xf numFmtId="176" fontId="9" fillId="12" borderId="10" xfId="0" applyNumberFormat="1" applyFont="1" applyFill="1" applyBorder="1" applyAlignment="1">
      <alignment horizontal="right" vertical="top"/>
    </xf>
    <xf numFmtId="178" fontId="3" fillId="4" borderId="3" xfId="0" applyNumberFormat="1" applyFont="1" applyFill="1" applyBorder="1" applyAlignment="1">
      <alignment vertical="top"/>
    </xf>
    <xf numFmtId="180" fontId="3" fillId="4" borderId="10" xfId="0" applyNumberFormat="1" applyFont="1" applyFill="1" applyBorder="1" applyAlignment="1">
      <alignment vertical="top"/>
    </xf>
    <xf numFmtId="0" fontId="3" fillId="2" borderId="13" xfId="0" applyFont="1" applyFill="1" applyBorder="1" applyAlignment="1">
      <alignment vertical="top" wrapText="1"/>
    </xf>
    <xf numFmtId="0" fontId="3" fillId="4" borderId="18" xfId="0" applyFont="1" applyFill="1" applyBorder="1" applyAlignment="1" applyProtection="1">
      <alignment vertical="top"/>
      <protection locked="0"/>
    </xf>
    <xf numFmtId="0" fontId="3" fillId="4" borderId="12" xfId="0" applyFont="1" applyFill="1" applyBorder="1" applyAlignment="1" applyProtection="1">
      <alignment vertical="top"/>
      <protection locked="0"/>
    </xf>
    <xf numFmtId="0" fontId="3" fillId="4" borderId="42" xfId="0" applyFont="1" applyFill="1" applyBorder="1" applyAlignment="1" applyProtection="1">
      <alignment vertical="top"/>
      <protection locked="0"/>
    </xf>
    <xf numFmtId="14" fontId="3" fillId="7" borderId="10" xfId="0" applyNumberFormat="1" applyFont="1" applyFill="1" applyBorder="1" applyAlignment="1" applyProtection="1">
      <alignment vertical="top"/>
      <protection locked="0"/>
    </xf>
    <xf numFmtId="14" fontId="3" fillId="0" borderId="48" xfId="0" applyNumberFormat="1" applyFont="1" applyBorder="1" applyAlignment="1" applyProtection="1">
      <alignment vertical="top" wrapText="1"/>
      <protection locked="0"/>
    </xf>
    <xf numFmtId="180" fontId="3" fillId="4" borderId="6" xfId="0" applyNumberFormat="1" applyFont="1" applyFill="1" applyBorder="1" applyAlignment="1">
      <alignment vertical="top"/>
    </xf>
    <xf numFmtId="180" fontId="3" fillId="4" borderId="5" xfId="0" applyNumberFormat="1" applyFont="1" applyFill="1" applyBorder="1" applyAlignment="1">
      <alignment vertical="top"/>
    </xf>
    <xf numFmtId="180" fontId="3" fillId="4" borderId="3" xfId="0" applyNumberFormat="1" applyFont="1" applyFill="1" applyBorder="1" applyAlignment="1">
      <alignment vertical="top"/>
    </xf>
    <xf numFmtId="184" fontId="3" fillId="0" borderId="13" xfId="0" applyNumberFormat="1" applyFont="1" applyBorder="1" applyAlignment="1" applyProtection="1">
      <alignment vertical="top"/>
      <protection locked="0"/>
    </xf>
    <xf numFmtId="184" fontId="3" fillId="0" borderId="22" xfId="0" applyNumberFormat="1" applyFont="1" applyBorder="1" applyAlignment="1" applyProtection="1">
      <alignment vertical="top"/>
      <protection locked="0"/>
    </xf>
    <xf numFmtId="184" fontId="3" fillId="0" borderId="1" xfId="0" applyNumberFormat="1" applyFont="1" applyBorder="1" applyAlignment="1" applyProtection="1">
      <alignment vertical="top"/>
      <protection locked="0"/>
    </xf>
    <xf numFmtId="184" fontId="3" fillId="0" borderId="12" xfId="0" applyNumberFormat="1" applyFont="1" applyBorder="1" applyAlignment="1" applyProtection="1">
      <alignment vertical="top"/>
      <protection locked="0"/>
    </xf>
    <xf numFmtId="184" fontId="3" fillId="0" borderId="27" xfId="0" applyNumberFormat="1" applyFont="1" applyBorder="1" applyAlignment="1" applyProtection="1">
      <alignment vertical="top"/>
      <protection locked="0"/>
    </xf>
    <xf numFmtId="184" fontId="3" fillId="0" borderId="4" xfId="0" applyNumberFormat="1" applyFont="1" applyBorder="1" applyAlignment="1" applyProtection="1">
      <alignment vertical="top"/>
      <protection locked="0"/>
    </xf>
    <xf numFmtId="0" fontId="3" fillId="2" borderId="7" xfId="0" applyFont="1" applyFill="1" applyBorder="1" applyAlignment="1" applyProtection="1">
      <alignment vertical="top"/>
      <protection locked="0"/>
    </xf>
    <xf numFmtId="0" fontId="3" fillId="2" borderId="8" xfId="0" applyFont="1" applyFill="1" applyBorder="1" applyAlignment="1" applyProtection="1">
      <alignment vertical="top"/>
      <protection locked="0"/>
    </xf>
    <xf numFmtId="182" fontId="3" fillId="0" borderId="0" xfId="0" applyNumberFormat="1" applyFont="1" applyAlignment="1" applyProtection="1">
      <alignment horizontal="center" vertical="top"/>
      <protection locked="0"/>
    </xf>
    <xf numFmtId="0" fontId="3" fillId="2" borderId="6" xfId="0" applyFont="1" applyFill="1" applyBorder="1" applyAlignment="1" applyProtection="1">
      <alignment horizontal="left" vertical="top"/>
      <protection locked="0"/>
    </xf>
    <xf numFmtId="0" fontId="3" fillId="2" borderId="3" xfId="0" applyFont="1" applyFill="1" applyBorder="1" applyAlignment="1" applyProtection="1">
      <alignment horizontal="left" vertical="top"/>
      <protection locked="0"/>
    </xf>
    <xf numFmtId="184" fontId="3" fillId="0" borderId="18" xfId="0" applyNumberFormat="1" applyFont="1" applyBorder="1" applyAlignment="1" applyProtection="1">
      <alignment vertical="top"/>
      <protection locked="0"/>
    </xf>
    <xf numFmtId="184" fontId="3" fillId="0" borderId="33" xfId="0" applyNumberFormat="1" applyFont="1" applyBorder="1" applyAlignment="1" applyProtection="1">
      <alignment vertical="top"/>
      <protection locked="0"/>
    </xf>
    <xf numFmtId="184" fontId="3" fillId="0" borderId="2" xfId="0" applyNumberFormat="1" applyFont="1" applyBorder="1" applyAlignment="1" applyProtection="1">
      <alignment vertical="top"/>
      <protection locked="0"/>
    </xf>
    <xf numFmtId="0" fontId="3" fillId="2" borderId="11" xfId="0" applyFont="1" applyFill="1" applyBorder="1" applyAlignment="1" applyProtection="1">
      <alignment vertical="top"/>
      <protection locked="0"/>
    </xf>
    <xf numFmtId="0" fontId="3" fillId="2" borderId="21" xfId="0" applyFont="1" applyFill="1" applyBorder="1" applyAlignment="1" applyProtection="1">
      <alignment vertical="top"/>
      <protection locked="0"/>
    </xf>
    <xf numFmtId="0" fontId="3" fillId="2" borderId="30" xfId="0" applyFont="1" applyFill="1" applyBorder="1" applyAlignment="1" applyProtection="1">
      <alignment vertical="top"/>
      <protection locked="0"/>
    </xf>
    <xf numFmtId="0" fontId="3" fillId="2" borderId="31" xfId="0" applyFont="1" applyFill="1" applyBorder="1" applyAlignment="1" applyProtection="1">
      <alignment vertical="top"/>
      <protection locked="0"/>
    </xf>
    <xf numFmtId="14" fontId="3" fillId="2" borderId="6" xfId="0" applyNumberFormat="1" applyFont="1" applyFill="1" applyBorder="1" applyAlignment="1" applyProtection="1">
      <alignment vertical="top"/>
      <protection locked="0"/>
    </xf>
    <xf numFmtId="14" fontId="3" fillId="2" borderId="5" xfId="0" applyNumberFormat="1" applyFont="1" applyFill="1" applyBorder="1" applyAlignment="1" applyProtection="1">
      <alignment vertical="top"/>
      <protection locked="0"/>
    </xf>
    <xf numFmtId="14" fontId="3" fillId="2" borderId="3" xfId="0" applyNumberFormat="1" applyFont="1" applyFill="1" applyBorder="1" applyAlignment="1" applyProtection="1">
      <alignment vertical="top"/>
      <protection locked="0"/>
    </xf>
    <xf numFmtId="0" fontId="3" fillId="8" borderId="6" xfId="0" applyFont="1" applyFill="1" applyBorder="1" applyAlignment="1" applyProtection="1">
      <alignment horizontal="left" vertical="top"/>
      <protection locked="0"/>
    </xf>
    <xf numFmtId="0" fontId="3" fillId="8" borderId="3" xfId="0" applyFont="1" applyFill="1" applyBorder="1" applyAlignment="1" applyProtection="1">
      <alignment horizontal="left" vertical="top"/>
      <protection locked="0"/>
    </xf>
    <xf numFmtId="0" fontId="3" fillId="13" borderId="7" xfId="0" applyFont="1" applyFill="1" applyBorder="1" applyAlignment="1" applyProtection="1">
      <alignment horizontal="center" vertical="center" wrapText="1"/>
      <protection locked="0"/>
    </xf>
    <xf numFmtId="0" fontId="3" fillId="13" borderId="21" xfId="0" applyFont="1" applyFill="1" applyBorder="1" applyAlignment="1" applyProtection="1">
      <alignment horizontal="center" vertical="center"/>
      <protection locked="0"/>
    </xf>
    <xf numFmtId="0" fontId="3" fillId="14" borderId="18" xfId="0" applyFont="1" applyFill="1" applyBorder="1" applyAlignment="1" applyProtection="1">
      <alignment horizontal="left" vertical="top" wrapText="1"/>
      <protection locked="0"/>
    </xf>
    <xf numFmtId="0" fontId="3" fillId="14" borderId="2" xfId="0" applyFont="1" applyFill="1" applyBorder="1" applyAlignment="1" applyProtection="1">
      <alignment horizontal="left" vertical="top" wrapText="1"/>
      <protection locked="0"/>
    </xf>
    <xf numFmtId="0" fontId="3" fillId="13" borderId="74" xfId="0" applyFont="1" applyFill="1" applyBorder="1" applyAlignment="1" applyProtection="1">
      <alignment horizontal="center" vertical="center" wrapText="1"/>
      <protection locked="0"/>
    </xf>
    <xf numFmtId="0" fontId="3" fillId="13" borderId="38" xfId="0" applyFont="1" applyFill="1" applyBorder="1" applyAlignment="1" applyProtection="1">
      <alignment horizontal="center" vertical="center" wrapText="1"/>
      <protection locked="0"/>
    </xf>
    <xf numFmtId="0" fontId="3" fillId="13" borderId="73" xfId="0" applyFont="1" applyFill="1" applyBorder="1" applyAlignment="1" applyProtection="1">
      <alignment horizontal="center" vertical="center" wrapText="1"/>
      <protection locked="0"/>
    </xf>
    <xf numFmtId="0" fontId="3" fillId="13" borderId="39" xfId="0" applyFont="1" applyFill="1" applyBorder="1" applyAlignment="1" applyProtection="1">
      <alignment horizontal="center" vertical="center" wrapText="1"/>
      <protection locked="0"/>
    </xf>
    <xf numFmtId="0" fontId="3" fillId="2" borderId="6" xfId="0" applyFont="1" applyFill="1" applyBorder="1" applyAlignment="1">
      <alignment vertical="top"/>
    </xf>
    <xf numFmtId="0" fontId="3" fillId="2" borderId="5" xfId="0" applyFont="1" applyFill="1" applyBorder="1" applyAlignment="1">
      <alignment vertical="top"/>
    </xf>
    <xf numFmtId="0" fontId="3" fillId="2" borderId="3" xfId="0" applyFont="1" applyFill="1" applyBorder="1" applyAlignment="1">
      <alignment vertical="top"/>
    </xf>
    <xf numFmtId="0" fontId="3" fillId="0" borderId="27" xfId="0" applyFont="1" applyBorder="1" applyAlignment="1">
      <alignment vertical="top" wrapText="1"/>
    </xf>
    <xf numFmtId="0" fontId="3" fillId="0" borderId="4" xfId="0" applyFont="1" applyBorder="1" applyAlignment="1">
      <alignment vertical="top" wrapText="1"/>
    </xf>
    <xf numFmtId="0" fontId="3" fillId="0" borderId="22" xfId="0" applyFont="1" applyBorder="1" applyAlignment="1">
      <alignment vertical="top" wrapText="1"/>
    </xf>
    <xf numFmtId="0" fontId="3" fillId="0" borderId="1" xfId="0" applyFont="1" applyBorder="1" applyAlignment="1">
      <alignment vertical="top" wrapText="1"/>
    </xf>
    <xf numFmtId="0" fontId="3" fillId="0" borderId="5" xfId="0" applyFont="1" applyBorder="1" applyAlignment="1">
      <alignment vertical="top" wrapText="1"/>
    </xf>
    <xf numFmtId="0" fontId="3" fillId="0" borderId="3" xfId="0" applyFont="1" applyBorder="1" applyAlignment="1">
      <alignment vertical="top" wrapText="1"/>
    </xf>
    <xf numFmtId="0" fontId="3" fillId="0" borderId="11" xfId="0" applyFont="1" applyBorder="1" applyAlignment="1">
      <alignment vertical="top" wrapText="1"/>
    </xf>
    <xf numFmtId="0" fontId="3" fillId="0" borderId="8" xfId="0" applyFont="1" applyBorder="1" applyAlignment="1">
      <alignment vertical="top" wrapText="1"/>
    </xf>
    <xf numFmtId="0" fontId="3" fillId="5" borderId="6" xfId="0" applyFont="1" applyFill="1" applyBorder="1" applyAlignment="1">
      <alignment vertical="top"/>
    </xf>
    <xf numFmtId="0" fontId="3" fillId="5" borderId="3" xfId="0" applyFont="1" applyFill="1" applyBorder="1" applyAlignment="1">
      <alignment vertical="top"/>
    </xf>
    <xf numFmtId="0" fontId="3" fillId="0" borderId="18" xfId="0" applyFont="1" applyBorder="1" applyAlignment="1">
      <alignment vertical="top"/>
    </xf>
    <xf numFmtId="0" fontId="3" fillId="0" borderId="2" xfId="0" applyFont="1" applyBorder="1" applyAlignment="1">
      <alignment vertical="top"/>
    </xf>
    <xf numFmtId="0" fontId="3" fillId="3" borderId="6" xfId="0" applyFont="1" applyFill="1" applyBorder="1" applyAlignment="1">
      <alignment horizontal="left" vertical="top"/>
    </xf>
    <xf numFmtId="0" fontId="3" fillId="3" borderId="5" xfId="0" applyFont="1" applyFill="1" applyBorder="1" applyAlignment="1">
      <alignment horizontal="left" vertical="top"/>
    </xf>
    <xf numFmtId="0" fontId="3" fillId="3" borderId="3" xfId="0" applyFont="1" applyFill="1" applyBorder="1" applyAlignment="1">
      <alignment horizontal="left" vertical="top"/>
    </xf>
    <xf numFmtId="0" fontId="3" fillId="0" borderId="12" xfId="0" applyFont="1" applyBorder="1" applyAlignment="1">
      <alignment vertical="top"/>
    </xf>
    <xf numFmtId="0" fontId="3" fillId="0" borderId="4" xfId="0" applyFont="1" applyBorder="1" applyAlignment="1">
      <alignment vertical="top"/>
    </xf>
    <xf numFmtId="0" fontId="3" fillId="0" borderId="33" xfId="0" applyFont="1" applyBorder="1" applyAlignment="1">
      <alignment vertical="top" wrapText="1"/>
    </xf>
    <xf numFmtId="0" fontId="3" fillId="0" borderId="2" xfId="0" applyFont="1" applyBorder="1" applyAlignment="1">
      <alignment vertical="top" wrapText="1"/>
    </xf>
    <xf numFmtId="0" fontId="3" fillId="0" borderId="44" xfId="0" applyFont="1" applyBorder="1" applyAlignment="1">
      <alignment vertical="top" wrapText="1"/>
    </xf>
    <xf numFmtId="0" fontId="3" fillId="0" borderId="29" xfId="0" applyFont="1" applyBorder="1" applyAlignment="1">
      <alignment vertical="top" wrapText="1"/>
    </xf>
    <xf numFmtId="0" fontId="3" fillId="8" borderId="10" xfId="0" applyFont="1" applyFill="1" applyBorder="1" applyAlignment="1">
      <alignment vertical="top" wrapText="1"/>
    </xf>
    <xf numFmtId="0" fontId="3" fillId="0" borderId="13" xfId="0" applyFont="1" applyBorder="1" applyAlignment="1">
      <alignment vertical="top"/>
    </xf>
    <xf numFmtId="0" fontId="3" fillId="0" borderId="1" xfId="0" applyFont="1" applyBorder="1" applyAlignment="1">
      <alignment vertical="top"/>
    </xf>
    <xf numFmtId="0" fontId="3" fillId="0" borderId="16" xfId="0" applyFont="1" applyBorder="1" applyAlignment="1">
      <alignment horizontal="left" vertical="top" wrapText="1"/>
    </xf>
    <xf numFmtId="0" fontId="3" fillId="0" borderId="41" xfId="0" applyFont="1" applyBorder="1" applyAlignment="1">
      <alignment horizontal="left" vertical="top" wrapText="1"/>
    </xf>
    <xf numFmtId="0" fontId="3" fillId="0" borderId="53" xfId="0" applyFont="1" applyBorder="1" applyAlignment="1">
      <alignment horizontal="left" vertical="top" wrapText="1"/>
    </xf>
    <xf numFmtId="0" fontId="3" fillId="0" borderId="12" xfId="0" applyFont="1" applyBorder="1" applyAlignment="1">
      <alignment vertical="top" wrapText="1"/>
    </xf>
    <xf numFmtId="0" fontId="3" fillId="0" borderId="13" xfId="0" applyFont="1" applyBorder="1" applyAlignment="1">
      <alignment vertical="top" wrapText="1"/>
    </xf>
    <xf numFmtId="0" fontId="3" fillId="0" borderId="18" xfId="0" applyFont="1" applyBorder="1" applyAlignment="1">
      <alignment vertical="top" wrapText="1"/>
    </xf>
    <xf numFmtId="0" fontId="3" fillId="2" borderId="6" xfId="0" applyFont="1" applyFill="1" applyBorder="1" applyAlignment="1">
      <alignment vertical="top" wrapText="1"/>
    </xf>
    <xf numFmtId="0" fontId="3" fillId="2" borderId="5" xfId="0" applyFont="1" applyFill="1" applyBorder="1" applyAlignment="1">
      <alignment vertical="top" wrapText="1"/>
    </xf>
  </cellXfs>
  <cellStyles count="1">
    <cellStyle name="標準" xfId="0" builtinId="0"/>
  </cellStyles>
  <dxfs count="20">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patternType="solid">
          <fgColor indexed="55"/>
          <bgColor theme="0" tint="-0.14996795556505021"/>
        </patternFill>
      </fill>
    </dxf>
    <dxf>
      <fill>
        <patternFill>
          <bgColor rgb="FFFFFF00"/>
        </patternFill>
      </fill>
    </dxf>
    <dxf>
      <fill>
        <patternFill>
          <bgColor theme="0" tint="-0.14996795556505021"/>
        </patternFill>
      </fill>
    </dxf>
    <dxf>
      <font>
        <condense val="0"/>
        <extend val="0"/>
        <color indexed="1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ndense val="0"/>
        <extend val="0"/>
        <color indexed="10"/>
      </font>
    </dxf>
    <dxf>
      <font>
        <condense val="0"/>
        <extend val="0"/>
        <color indexed="23"/>
      </font>
    </dxf>
    <dxf>
      <font>
        <b val="0"/>
        <i val="0"/>
        <condense val="0"/>
        <extend val="0"/>
        <color indexed="17"/>
      </font>
    </dxf>
    <dxf>
      <font>
        <condense val="0"/>
        <extend val="0"/>
        <color indexed="12"/>
      </font>
    </dxf>
    <dxf>
      <fill>
        <patternFill>
          <bgColor rgb="FFFFFF00"/>
        </patternFill>
      </fill>
    </dxf>
    <dxf>
      <fill>
        <patternFill>
          <bgColor rgb="FFFFFF00"/>
        </patternFill>
      </fill>
    </dxf>
    <dxf>
      <fill>
        <patternFill patternType="solid">
          <fgColor indexed="22"/>
          <bgColor theme="0" tint="-0.14996795556505021"/>
        </patternFill>
      </fill>
    </dxf>
  </dxfs>
  <tableStyles count="0" defaultTableStyle="TableStyleMedium2" defaultPivotStyle="PivotStyleLight16"/>
  <colors>
    <mruColors>
      <color rgb="FFFF6699"/>
      <color rgb="FFFFCC99"/>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66675</xdr:colOff>
      <xdr:row>53</xdr:row>
      <xdr:rowOff>66675</xdr:rowOff>
    </xdr:from>
    <xdr:to>
      <xdr:col>16</xdr:col>
      <xdr:colOff>3648075</xdr:colOff>
      <xdr:row>53</xdr:row>
      <xdr:rowOff>2981325</xdr:rowOff>
    </xdr:to>
    <xdr:grpSp>
      <xdr:nvGrpSpPr>
        <xdr:cNvPr id="3160" name="Group 23">
          <a:extLst>
            <a:ext uri="{FF2B5EF4-FFF2-40B4-BE49-F238E27FC236}">
              <a16:creationId xmlns:a16="http://schemas.microsoft.com/office/drawing/2014/main" id="{00000000-0008-0000-0000-0000580C0000}"/>
            </a:ext>
          </a:extLst>
        </xdr:cNvPr>
        <xdr:cNvGrpSpPr>
          <a:grpSpLocks/>
        </xdr:cNvGrpSpPr>
      </xdr:nvGrpSpPr>
      <xdr:grpSpPr bwMode="auto">
        <a:xfrm>
          <a:off x="6446520" y="19095720"/>
          <a:ext cx="3362325" cy="2918460"/>
          <a:chOff x="640" y="1743"/>
          <a:chExt cx="376" cy="306"/>
        </a:xfrm>
      </xdr:grpSpPr>
      <xdr:sp macro="" textlink="">
        <xdr:nvSpPr>
          <xdr:cNvPr id="3074" name="AutoShape 2">
            <a:extLst>
              <a:ext uri="{FF2B5EF4-FFF2-40B4-BE49-F238E27FC236}">
                <a16:creationId xmlns:a16="http://schemas.microsoft.com/office/drawing/2014/main" id="{00000000-0008-0000-0000-0000020C0000}"/>
              </a:ext>
            </a:extLst>
          </xdr:cNvPr>
          <xdr:cNvSpPr>
            <a:spLocks noChangeArrowheads="1"/>
          </xdr:cNvSpPr>
        </xdr:nvSpPr>
        <xdr:spPr bwMode="auto">
          <a:xfrm>
            <a:off x="756" y="1870"/>
            <a:ext cx="108" cy="46"/>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レビュー対象成果物</a:t>
            </a:r>
          </a:p>
        </xdr:txBody>
      </xdr:sp>
      <xdr:sp macro="" textlink="">
        <xdr:nvSpPr>
          <xdr:cNvPr id="3075" name="Oval 3">
            <a:extLst>
              <a:ext uri="{FF2B5EF4-FFF2-40B4-BE49-F238E27FC236}">
                <a16:creationId xmlns:a16="http://schemas.microsoft.com/office/drawing/2014/main" id="{00000000-0008-0000-0000-0000030C0000}"/>
              </a:ext>
            </a:extLst>
          </xdr:cNvPr>
          <xdr:cNvSpPr>
            <a:spLocks noChangeArrowheads="1"/>
          </xdr:cNvSpPr>
        </xdr:nvSpPr>
        <xdr:spPr bwMode="auto">
          <a:xfrm>
            <a:off x="762" y="1764"/>
            <a:ext cx="93" cy="49"/>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前工程</a:t>
            </a:r>
          </a:p>
          <a:p>
            <a:pPr algn="ctr" rtl="0">
              <a:lnSpc>
                <a:spcPts val="800"/>
              </a:lnSpc>
              <a:defRPr sz="1000"/>
            </a:pPr>
            <a:r>
              <a:rPr lang="ja-JP" altLang="en-US" sz="800" b="0" i="0" u="none" strike="noStrike" baseline="0">
                <a:solidFill>
                  <a:srgbClr val="000000"/>
                </a:solidFill>
                <a:latin typeface="ＭＳ Ｐゴシック"/>
                <a:ea typeface="ＭＳ Ｐゴシック"/>
              </a:rPr>
              <a:t>作業成果物</a:t>
            </a:r>
          </a:p>
        </xdr:txBody>
      </xdr:sp>
      <xdr:sp macro="" textlink="">
        <xdr:nvSpPr>
          <xdr:cNvPr id="3076" name="Oval 4">
            <a:extLst>
              <a:ext uri="{FF2B5EF4-FFF2-40B4-BE49-F238E27FC236}">
                <a16:creationId xmlns:a16="http://schemas.microsoft.com/office/drawing/2014/main" id="{00000000-0008-0000-0000-0000040C0000}"/>
              </a:ext>
            </a:extLst>
          </xdr:cNvPr>
          <xdr:cNvSpPr>
            <a:spLocks noChangeArrowheads="1"/>
          </xdr:cNvSpPr>
        </xdr:nvSpPr>
        <xdr:spPr bwMode="auto">
          <a:xfrm>
            <a:off x="762" y="1971"/>
            <a:ext cx="93" cy="48"/>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prstDash val="sysDot"/>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後工程</a:t>
            </a:r>
          </a:p>
          <a:p>
            <a:pPr algn="ctr" rtl="0">
              <a:lnSpc>
                <a:spcPts val="900"/>
              </a:lnSpc>
              <a:defRPr sz="1000"/>
            </a:pPr>
            <a:r>
              <a:rPr lang="ja-JP" altLang="en-US" sz="800" b="0" i="0" u="none" strike="noStrike" baseline="0">
                <a:solidFill>
                  <a:srgbClr val="000000"/>
                </a:solidFill>
                <a:latin typeface="ＭＳ Ｐゴシック"/>
                <a:ea typeface="ＭＳ Ｐゴシック"/>
              </a:rPr>
              <a:t>作業成果物</a:t>
            </a:r>
          </a:p>
        </xdr:txBody>
      </xdr:sp>
      <xdr:sp macro="" textlink="">
        <xdr:nvSpPr>
          <xdr:cNvPr id="3077" name="Oval 5">
            <a:extLst>
              <a:ext uri="{FF2B5EF4-FFF2-40B4-BE49-F238E27FC236}">
                <a16:creationId xmlns:a16="http://schemas.microsoft.com/office/drawing/2014/main" id="{00000000-0008-0000-0000-0000050C0000}"/>
              </a:ext>
            </a:extLst>
          </xdr:cNvPr>
          <xdr:cNvSpPr>
            <a:spLocks noChangeArrowheads="1"/>
          </xdr:cNvSpPr>
        </xdr:nvSpPr>
        <xdr:spPr bwMode="auto">
          <a:xfrm>
            <a:off x="890" y="1829"/>
            <a:ext cx="102" cy="48"/>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ルール、方針資料</a:t>
            </a:r>
          </a:p>
        </xdr:txBody>
      </xdr:sp>
      <xdr:sp macro="" textlink="">
        <xdr:nvSpPr>
          <xdr:cNvPr id="3078" name="Oval 6">
            <a:extLst>
              <a:ext uri="{FF2B5EF4-FFF2-40B4-BE49-F238E27FC236}">
                <a16:creationId xmlns:a16="http://schemas.microsoft.com/office/drawing/2014/main" id="{00000000-0008-0000-0000-0000060C0000}"/>
              </a:ext>
            </a:extLst>
          </xdr:cNvPr>
          <xdr:cNvSpPr>
            <a:spLocks noChangeArrowheads="1"/>
          </xdr:cNvSpPr>
        </xdr:nvSpPr>
        <xdr:spPr bwMode="auto">
          <a:xfrm>
            <a:off x="890" y="1908"/>
            <a:ext cx="102" cy="49"/>
          </a:xfrm>
          <a:prstGeom prst="ellipse">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関連資料</a:t>
            </a:r>
          </a:p>
        </xdr:txBody>
      </xdr:sp>
      <xdr:cxnSp macro="">
        <xdr:nvCxnSpPr>
          <xdr:cNvPr id="3166" name="AutoShape 7">
            <a:extLst>
              <a:ext uri="{FF2B5EF4-FFF2-40B4-BE49-F238E27FC236}">
                <a16:creationId xmlns:a16="http://schemas.microsoft.com/office/drawing/2014/main" id="{00000000-0008-0000-0000-00005E0C0000}"/>
              </a:ext>
            </a:extLst>
          </xdr:cNvPr>
          <xdr:cNvCxnSpPr>
            <a:cxnSpLocks noChangeShapeType="1"/>
            <a:stCxn id="3075" idx="4"/>
            <a:endCxn id="3074" idx="0"/>
          </xdr:cNvCxnSpPr>
        </xdr:nvCxnSpPr>
        <xdr:spPr bwMode="auto">
          <a:xfrm>
            <a:off x="809" y="1814"/>
            <a:ext cx="1" cy="55"/>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cxnSp>
      <xdr:cxnSp macro="">
        <xdr:nvCxnSpPr>
          <xdr:cNvPr id="3167" name="AutoShape 8">
            <a:extLst>
              <a:ext uri="{FF2B5EF4-FFF2-40B4-BE49-F238E27FC236}">
                <a16:creationId xmlns:a16="http://schemas.microsoft.com/office/drawing/2014/main" id="{00000000-0008-0000-0000-00005F0C0000}"/>
              </a:ext>
            </a:extLst>
          </xdr:cNvPr>
          <xdr:cNvCxnSpPr>
            <a:cxnSpLocks noChangeShapeType="1"/>
            <a:stCxn id="3074" idx="2"/>
            <a:endCxn id="3076" idx="0"/>
          </xdr:cNvCxnSpPr>
        </xdr:nvCxnSpPr>
        <xdr:spPr bwMode="auto">
          <a:xfrm flipH="1">
            <a:off x="809" y="1919"/>
            <a:ext cx="1" cy="51"/>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68" name="AutoShape 9">
            <a:extLst>
              <a:ext uri="{FF2B5EF4-FFF2-40B4-BE49-F238E27FC236}">
                <a16:creationId xmlns:a16="http://schemas.microsoft.com/office/drawing/2014/main" id="{00000000-0008-0000-0000-0000600C0000}"/>
              </a:ext>
            </a:extLst>
          </xdr:cNvPr>
          <xdr:cNvCxnSpPr>
            <a:cxnSpLocks noChangeShapeType="1"/>
            <a:stCxn id="3077" idx="2"/>
            <a:endCxn id="3074" idx="3"/>
          </xdr:cNvCxnSpPr>
        </xdr:nvCxnSpPr>
        <xdr:spPr bwMode="auto">
          <a:xfrm flipH="1">
            <a:off x="865" y="1853"/>
            <a:ext cx="24" cy="41"/>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69" name="AutoShape 10">
            <a:extLst>
              <a:ext uri="{FF2B5EF4-FFF2-40B4-BE49-F238E27FC236}">
                <a16:creationId xmlns:a16="http://schemas.microsoft.com/office/drawing/2014/main" id="{00000000-0008-0000-0000-0000610C0000}"/>
              </a:ext>
            </a:extLst>
          </xdr:cNvPr>
          <xdr:cNvCxnSpPr>
            <a:cxnSpLocks noChangeShapeType="1"/>
            <a:stCxn id="3078" idx="2"/>
            <a:endCxn id="3074" idx="3"/>
          </xdr:cNvCxnSpPr>
        </xdr:nvCxnSpPr>
        <xdr:spPr bwMode="auto">
          <a:xfrm flipH="1" flipV="1">
            <a:off x="865" y="1894"/>
            <a:ext cx="24" cy="39"/>
          </a:xfrm>
          <a:prstGeom prst="straightConnector1">
            <a:avLst/>
          </a:prstGeom>
          <a:noFill/>
          <a:ln w="19050">
            <a:solidFill>
              <a:srgbClr xmlns:mc="http://schemas.openxmlformats.org/markup-compatibility/2006" xmlns:a14="http://schemas.microsoft.com/office/drawing/2010/main" val="000000" mc:Ignorable="a14" a14:legacySpreadsheetColorIndex="64"/>
            </a:solidFill>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3083" name="AutoShape 11">
            <a:extLst>
              <a:ext uri="{FF2B5EF4-FFF2-40B4-BE49-F238E27FC236}">
                <a16:creationId xmlns:a16="http://schemas.microsoft.com/office/drawing/2014/main" id="{00000000-0008-0000-0000-00000B0C0000}"/>
              </a:ext>
            </a:extLst>
          </xdr:cNvPr>
          <xdr:cNvSpPr>
            <a:spLocks/>
          </xdr:cNvSpPr>
        </xdr:nvSpPr>
        <xdr:spPr bwMode="auto">
          <a:xfrm>
            <a:off x="891" y="1787"/>
            <a:ext cx="107" cy="27"/>
          </a:xfrm>
          <a:prstGeom prst="borderCallout1">
            <a:avLst>
              <a:gd name="adj1" fmla="val 44444"/>
              <a:gd name="adj2" fmla="val -7620"/>
              <a:gd name="adj3" fmla="val 266667"/>
              <a:gd name="adj4" fmla="val -7620"/>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ルール不順守</a:t>
            </a:r>
          </a:p>
        </xdr:txBody>
      </xdr:sp>
      <xdr:sp macro="" textlink="">
        <xdr:nvSpPr>
          <xdr:cNvPr id="3084" name="AutoShape 12">
            <a:extLst>
              <a:ext uri="{FF2B5EF4-FFF2-40B4-BE49-F238E27FC236}">
                <a16:creationId xmlns:a16="http://schemas.microsoft.com/office/drawing/2014/main" id="{00000000-0008-0000-0000-00000C0C0000}"/>
              </a:ext>
            </a:extLst>
          </xdr:cNvPr>
          <xdr:cNvSpPr>
            <a:spLocks/>
          </xdr:cNvSpPr>
        </xdr:nvSpPr>
        <xdr:spPr bwMode="auto">
          <a:xfrm>
            <a:off x="893" y="1985"/>
            <a:ext cx="105" cy="24"/>
          </a:xfrm>
          <a:prstGeom prst="borderCallout1">
            <a:avLst>
              <a:gd name="adj1" fmla="val 50000"/>
              <a:gd name="adj2" fmla="val -7620"/>
              <a:gd name="adj3" fmla="val -233333"/>
              <a:gd name="adj4" fmla="val -7620"/>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不整合</a:t>
            </a:r>
          </a:p>
        </xdr:txBody>
      </xdr:sp>
      <xdr:sp macro="" textlink="">
        <xdr:nvSpPr>
          <xdr:cNvPr id="3085" name="AutoShape 13">
            <a:extLst>
              <a:ext uri="{FF2B5EF4-FFF2-40B4-BE49-F238E27FC236}">
                <a16:creationId xmlns:a16="http://schemas.microsoft.com/office/drawing/2014/main" id="{00000000-0008-0000-0000-00000D0C0000}"/>
              </a:ext>
            </a:extLst>
          </xdr:cNvPr>
          <xdr:cNvSpPr>
            <a:spLocks/>
          </xdr:cNvSpPr>
        </xdr:nvSpPr>
        <xdr:spPr bwMode="auto">
          <a:xfrm>
            <a:off x="643" y="1766"/>
            <a:ext cx="107" cy="25"/>
          </a:xfrm>
          <a:prstGeom prst="borderCallout1">
            <a:avLst>
              <a:gd name="adj1" fmla="val 132000"/>
              <a:gd name="adj2" fmla="val 11431"/>
              <a:gd name="adj3" fmla="val 132000"/>
              <a:gd name="adj4" fmla="val 11333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86" name="AutoShape 14">
            <a:extLst>
              <a:ext uri="{FF2B5EF4-FFF2-40B4-BE49-F238E27FC236}">
                <a16:creationId xmlns:a16="http://schemas.microsoft.com/office/drawing/2014/main" id="{00000000-0008-0000-0000-00000E0C0000}"/>
              </a:ext>
            </a:extLst>
          </xdr:cNvPr>
          <xdr:cNvSpPr>
            <a:spLocks/>
          </xdr:cNvSpPr>
        </xdr:nvSpPr>
        <xdr:spPr bwMode="auto">
          <a:xfrm>
            <a:off x="643" y="1802"/>
            <a:ext cx="108" cy="24"/>
          </a:xfrm>
          <a:prstGeom prst="borderCallout1">
            <a:avLst>
              <a:gd name="adj1" fmla="val 133333"/>
              <a:gd name="adj2" fmla="val 11319"/>
              <a:gd name="adj3" fmla="val 133333"/>
              <a:gd name="adj4" fmla="val 150944"/>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仕様取込不備</a:t>
            </a:r>
          </a:p>
        </xdr:txBody>
      </xdr:sp>
      <xdr:sp macro="" textlink="">
        <xdr:nvSpPr>
          <xdr:cNvPr id="3087" name="AutoShape 15">
            <a:extLst>
              <a:ext uri="{FF2B5EF4-FFF2-40B4-BE49-F238E27FC236}">
                <a16:creationId xmlns:a16="http://schemas.microsoft.com/office/drawing/2014/main" id="{00000000-0008-0000-0000-00000F0C0000}"/>
              </a:ext>
            </a:extLst>
          </xdr:cNvPr>
          <xdr:cNvSpPr>
            <a:spLocks/>
          </xdr:cNvSpPr>
        </xdr:nvSpPr>
        <xdr:spPr bwMode="auto">
          <a:xfrm>
            <a:off x="644" y="1925"/>
            <a:ext cx="101" cy="25"/>
          </a:xfrm>
          <a:prstGeom prst="borderCallout1">
            <a:avLst>
              <a:gd name="adj1" fmla="val 132000"/>
              <a:gd name="adj2" fmla="val 11653"/>
              <a:gd name="adj3" fmla="val 132000"/>
              <a:gd name="adj4" fmla="val 152426"/>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考慮不足</a:t>
            </a:r>
          </a:p>
        </xdr:txBody>
      </xdr:sp>
      <xdr:sp macro="" textlink="">
        <xdr:nvSpPr>
          <xdr:cNvPr id="3088" name="Text Box 16">
            <a:extLst>
              <a:ext uri="{FF2B5EF4-FFF2-40B4-BE49-F238E27FC236}">
                <a16:creationId xmlns:a16="http://schemas.microsoft.com/office/drawing/2014/main" id="{00000000-0008-0000-0000-0000100C0000}"/>
              </a:ext>
            </a:extLst>
          </xdr:cNvPr>
          <xdr:cNvSpPr txBox="1">
            <a:spLocks noChangeArrowheads="1"/>
          </xdr:cNvSpPr>
        </xdr:nvSpPr>
        <xdr:spPr bwMode="auto">
          <a:xfrm>
            <a:off x="854" y="1759"/>
            <a:ext cx="62" cy="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Ｐゴシック"/>
                <a:ea typeface="ＭＳ Ｐゴシック"/>
              </a:rPr>
              <a:t>＝ 元資料</a:t>
            </a:r>
          </a:p>
        </xdr:txBody>
      </xdr:sp>
      <xdr:sp macro="" textlink="">
        <xdr:nvSpPr>
          <xdr:cNvPr id="3090" name="AutoShape 18">
            <a:extLst>
              <a:ext uri="{FF2B5EF4-FFF2-40B4-BE49-F238E27FC236}">
                <a16:creationId xmlns:a16="http://schemas.microsoft.com/office/drawing/2014/main" id="{00000000-0008-0000-0000-0000120C0000}"/>
              </a:ext>
            </a:extLst>
          </xdr:cNvPr>
          <xdr:cNvSpPr>
            <a:spLocks/>
          </xdr:cNvSpPr>
        </xdr:nvSpPr>
        <xdr:spPr bwMode="auto">
          <a:xfrm>
            <a:off x="911" y="1952"/>
            <a:ext cx="102" cy="27"/>
          </a:xfrm>
          <a:prstGeom prst="borderCallout1">
            <a:avLst>
              <a:gd name="adj1" fmla="val 55556"/>
              <a:gd name="adj2" fmla="val -7843"/>
              <a:gd name="adj3" fmla="val -11111"/>
              <a:gd name="adj4" fmla="val -784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91" name="AutoShape 19">
            <a:extLst>
              <a:ext uri="{FF2B5EF4-FFF2-40B4-BE49-F238E27FC236}">
                <a16:creationId xmlns:a16="http://schemas.microsoft.com/office/drawing/2014/main" id="{00000000-0008-0000-0000-0000130C0000}"/>
              </a:ext>
            </a:extLst>
          </xdr:cNvPr>
          <xdr:cNvSpPr>
            <a:spLocks/>
          </xdr:cNvSpPr>
        </xdr:nvSpPr>
        <xdr:spPr bwMode="auto">
          <a:xfrm>
            <a:off x="643" y="1838"/>
            <a:ext cx="107" cy="70"/>
          </a:xfrm>
          <a:prstGeom prst="borderCallout1">
            <a:avLst>
              <a:gd name="adj1" fmla="val 111269"/>
              <a:gd name="adj2" fmla="val 11431"/>
              <a:gd name="adj3" fmla="val 111269"/>
              <a:gd name="adj4" fmla="val 114287"/>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技術的不備</a:t>
            </a:r>
          </a:p>
          <a:p>
            <a:pPr algn="l" rtl="0">
              <a:lnSpc>
                <a:spcPts val="900"/>
              </a:lnSpc>
              <a:defRPr sz="1000"/>
            </a:pPr>
            <a:r>
              <a:rPr lang="ja-JP" altLang="en-US" sz="800" b="0" i="0" u="none" strike="noStrike" baseline="0">
                <a:solidFill>
                  <a:srgbClr val="000000"/>
                </a:solidFill>
                <a:latin typeface="ＭＳ Ｐゴシック"/>
                <a:ea typeface="ＭＳ Ｐゴシック"/>
              </a:rPr>
              <a:t>あいまい表現</a:t>
            </a:r>
          </a:p>
          <a:p>
            <a:pPr algn="l" rtl="0">
              <a:defRPr sz="1000"/>
            </a:pPr>
            <a:r>
              <a:rPr lang="ja-JP" altLang="en-US" sz="800" b="0" i="0" u="none" strike="noStrike" baseline="0">
                <a:solidFill>
                  <a:srgbClr val="000000"/>
                </a:solidFill>
                <a:latin typeface="ＭＳ Ｐゴシック"/>
                <a:ea typeface="ＭＳ Ｐゴシック"/>
              </a:rPr>
              <a:t>考慮不足</a:t>
            </a:r>
          </a:p>
          <a:p>
            <a:pPr algn="l" rtl="0">
              <a:lnSpc>
                <a:spcPts val="900"/>
              </a:lnSpc>
              <a:defRPr sz="1000"/>
            </a:pPr>
            <a:r>
              <a:rPr lang="ja-JP" altLang="en-US" sz="800" b="0" i="0" u="none" strike="noStrike" baseline="0">
                <a:solidFill>
                  <a:srgbClr val="000000"/>
                </a:solidFill>
                <a:latin typeface="ＭＳ Ｐゴシック"/>
                <a:ea typeface="ＭＳ Ｐゴシック"/>
              </a:rPr>
              <a:t>不整合</a:t>
            </a:r>
          </a:p>
          <a:p>
            <a:pPr algn="l" rtl="0">
              <a:lnSpc>
                <a:spcPts val="900"/>
              </a:lnSpc>
              <a:defRPr sz="1000"/>
            </a:pPr>
            <a:r>
              <a:rPr lang="ja-JP" altLang="en-US" sz="800" b="0" i="0" u="none" strike="noStrike" baseline="0">
                <a:solidFill>
                  <a:srgbClr val="000000"/>
                </a:solidFill>
                <a:latin typeface="ＭＳ Ｐゴシック"/>
                <a:ea typeface="ＭＳ Ｐゴシック"/>
              </a:rPr>
              <a:t>誤字脱字・形式不備</a:t>
            </a:r>
          </a:p>
        </xdr:txBody>
      </xdr:sp>
      <xdr:sp macro="" textlink="">
        <xdr:nvSpPr>
          <xdr:cNvPr id="3092" name="AutoShape 20">
            <a:extLst>
              <a:ext uri="{FF2B5EF4-FFF2-40B4-BE49-F238E27FC236}">
                <a16:creationId xmlns:a16="http://schemas.microsoft.com/office/drawing/2014/main" id="{00000000-0008-0000-0000-0000140C0000}"/>
              </a:ext>
            </a:extLst>
          </xdr:cNvPr>
          <xdr:cNvSpPr>
            <a:spLocks/>
          </xdr:cNvSpPr>
        </xdr:nvSpPr>
        <xdr:spPr bwMode="auto">
          <a:xfrm>
            <a:off x="910" y="1873"/>
            <a:ext cx="102" cy="27"/>
          </a:xfrm>
          <a:prstGeom prst="borderCallout1">
            <a:avLst>
              <a:gd name="adj1" fmla="val 55556"/>
              <a:gd name="adj2" fmla="val -7843"/>
              <a:gd name="adj3" fmla="val -11111"/>
              <a:gd name="adj4" fmla="val -7843"/>
            </a:avLst>
          </a:prstGeom>
          <a:solidFill>
            <a:srgbClr val="FFCCCC"/>
          </a:solidFill>
          <a:ln w="9525">
            <a:solidFill>
              <a:srgbClr xmlns:mc="http://schemas.openxmlformats.org/markup-compatibility/2006" xmlns:a14="http://schemas.microsoft.com/office/drawing/2010/main" val="FF0000" mc:Ignorable="a14" a14:legacySpreadsheetColorIndex="10"/>
            </a:solidFill>
            <a:miter lim="800000"/>
            <a:headEnd type="oval" w="sm" len="sm"/>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元資料不備</a:t>
            </a:r>
          </a:p>
        </xdr:txBody>
      </xdr:sp>
      <xdr:sp macro="" textlink="">
        <xdr:nvSpPr>
          <xdr:cNvPr id="3093" name="Text Box 21">
            <a:extLst>
              <a:ext uri="{FF2B5EF4-FFF2-40B4-BE49-F238E27FC236}">
                <a16:creationId xmlns:a16="http://schemas.microsoft.com/office/drawing/2014/main" id="{00000000-0008-0000-0000-0000150C0000}"/>
              </a:ext>
            </a:extLst>
          </xdr:cNvPr>
          <xdr:cNvSpPr txBox="1">
            <a:spLocks noChangeArrowheads="1"/>
          </xdr:cNvSpPr>
        </xdr:nvSpPr>
        <xdr:spPr bwMode="auto">
          <a:xfrm>
            <a:off x="752" y="2029"/>
            <a:ext cx="264" cy="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900"/>
              </a:lnSpc>
              <a:defRPr sz="1000"/>
            </a:pPr>
            <a:r>
              <a:rPr lang="ja-JP" altLang="en-US" sz="800" b="0" i="0" u="none" strike="noStrike" baseline="0">
                <a:solidFill>
                  <a:srgbClr val="000000"/>
                </a:solidFill>
                <a:latin typeface="ＭＳ Ｐゴシック"/>
                <a:ea typeface="ＭＳ Ｐゴシック"/>
              </a:rPr>
              <a:t>※「仕様改善提案」は欠陥ではないため、表記対象外。</a:t>
            </a:r>
          </a:p>
        </xdr:txBody>
      </xdr:sp>
      <xdr:sp macro="" textlink="">
        <xdr:nvSpPr>
          <xdr:cNvPr id="3094" name="Text Box 22">
            <a:extLst>
              <a:ext uri="{FF2B5EF4-FFF2-40B4-BE49-F238E27FC236}">
                <a16:creationId xmlns:a16="http://schemas.microsoft.com/office/drawing/2014/main" id="{00000000-0008-0000-0000-0000160C0000}"/>
              </a:ext>
            </a:extLst>
          </xdr:cNvPr>
          <xdr:cNvSpPr txBox="1">
            <a:spLocks noChangeArrowheads="1"/>
          </xdr:cNvSpPr>
        </xdr:nvSpPr>
        <xdr:spPr bwMode="auto">
          <a:xfrm>
            <a:off x="640" y="1743"/>
            <a:ext cx="172" cy="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【欠陥の埋め込み過程と種類】</a:t>
            </a: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68580</xdr:colOff>
      <xdr:row>3</xdr:row>
      <xdr:rowOff>72390</xdr:rowOff>
    </xdr:from>
    <xdr:ext cx="3421380" cy="732765"/>
    <xdr:sp macro="" textlink="">
      <xdr:nvSpPr>
        <xdr:cNvPr id="1049" name="AutoShape 25">
          <a:extLst>
            <a:ext uri="{FF2B5EF4-FFF2-40B4-BE49-F238E27FC236}">
              <a16:creationId xmlns:a16="http://schemas.microsoft.com/office/drawing/2014/main" id="{00000000-0008-0000-0100-000019040000}"/>
            </a:ext>
          </a:extLst>
        </xdr:cNvPr>
        <xdr:cNvSpPr>
          <a:spLocks/>
        </xdr:cNvSpPr>
      </xdr:nvSpPr>
      <xdr:spPr bwMode="auto">
        <a:xfrm>
          <a:off x="4648200" y="582930"/>
          <a:ext cx="3421380" cy="732765"/>
        </a:xfrm>
        <a:prstGeom prst="borderCallout1">
          <a:avLst>
            <a:gd name="adj1" fmla="val 83218"/>
            <a:gd name="adj2" fmla="val -1140"/>
            <a:gd name="adj3" fmla="val 66579"/>
            <a:gd name="adj4" fmla="val -83113"/>
          </a:avLst>
        </a:prstGeom>
        <a:solidFill>
          <a:srgbClr val="EFFFFF"/>
        </a:solidFill>
        <a:ln w="19050">
          <a:solidFill>
            <a:srgbClr xmlns:mc="http://schemas.openxmlformats.org/markup-compatibility/2006" xmlns:a14="http://schemas.microsoft.com/office/drawing/2010/main" val="99CCFF" mc:Ignorable="a14" a14:legacySpreadsheetColorIndex="44"/>
          </a:solidFill>
          <a:prstDash val="sysDot"/>
          <a:miter lim="800000"/>
          <a:headEnd/>
          <a:tailEnd/>
        </a:ln>
        <a:effectLst/>
        <a:extLst>
          <a:ext uri="{AF507438-7753-43E0-B8FC-AC1667EBCBE1}">
            <a14:hiddenEffects xmlns:a14="http://schemas.microsoft.com/office/drawing/2010/main">
              <a:effectLst>
                <a:outerShdw dist="35921" dir="2700000" algn="ctr" rotWithShape="0">
                  <a:srgbClr val="868686"/>
                </a:outerShdw>
              </a:effectLst>
            </a14:hiddenEffects>
          </a:ext>
        </a:extLst>
      </xdr:spPr>
      <xdr:txBody>
        <a:bodyPr vertOverflow="clip" wrap="square" lIns="27432" tIns="18288" rIns="0" bIns="0" anchor="t" upright="1">
          <a:spAutoFit/>
        </a:bodyPr>
        <a:lstStyle/>
        <a:p>
          <a:pPr algn="l" rtl="0">
            <a:lnSpc>
              <a:spcPts val="1100"/>
            </a:lnSpc>
            <a:defRPr sz="1000"/>
          </a:pPr>
          <a:r>
            <a:rPr lang="ja-JP" altLang="en-US" sz="900" b="1" i="0" u="none" strike="noStrike" baseline="0">
              <a:solidFill>
                <a:srgbClr val="000000"/>
              </a:solidFill>
              <a:latin typeface="ＭＳ Ｐゴシック"/>
              <a:ea typeface="ＭＳ Ｐゴシック"/>
            </a:rPr>
            <a:t>レビュー方式</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個人 … 各自机上で行うレビュー</a:t>
          </a:r>
        </a:p>
        <a:p>
          <a:pPr algn="l" rtl="0">
            <a:lnSpc>
              <a:spcPts val="1100"/>
            </a:lnSpc>
            <a:defRPr sz="1000"/>
          </a:pPr>
          <a:r>
            <a:rPr lang="ja-JP" altLang="en-US" sz="900" b="0" i="0" u="none" strike="noStrike" baseline="0">
              <a:solidFill>
                <a:srgbClr val="000000"/>
              </a:solidFill>
              <a:latin typeface="ＭＳ Ｐゴシック"/>
              <a:ea typeface="ＭＳ Ｐゴシック"/>
            </a:rPr>
            <a:t> 会議 … ミーティング形式のレビュー</a:t>
          </a:r>
        </a:p>
        <a:p>
          <a:pPr algn="l" rtl="0">
            <a:lnSpc>
              <a:spcPts val="1100"/>
            </a:lnSpc>
            <a:defRPr sz="1000"/>
          </a:pPr>
          <a:r>
            <a:rPr lang="ja-JP" altLang="en-US" sz="900" b="0" i="0" u="none" strike="noStrike" baseline="0">
              <a:solidFill>
                <a:srgbClr val="000000"/>
              </a:solidFill>
              <a:latin typeface="ＭＳ Ｐゴシック"/>
              <a:ea typeface="ＭＳ Ｐゴシック"/>
            </a:rPr>
            <a:t> 組織 … プロジェクト外（またはＧｒ外）のDCS社員が参加するレビュー</a:t>
          </a:r>
        </a:p>
        <a:p>
          <a:pPr algn="l" rtl="0">
            <a:defRPr sz="1000"/>
          </a:pPr>
          <a:r>
            <a:rPr lang="ja-JP" altLang="en-US" sz="900" b="0" i="0" u="none" strike="noStrike" baseline="0">
              <a:solidFill>
                <a:srgbClr val="000000"/>
              </a:solidFill>
              <a:latin typeface="ＭＳ Ｐゴシック"/>
              <a:ea typeface="ＭＳ Ｐゴシック"/>
            </a:rPr>
            <a:t> 顧客 … 顧客により成果物の妥当性を検証するレビュー</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245745</xdr:colOff>
      <xdr:row>73</xdr:row>
      <xdr:rowOff>0</xdr:rowOff>
    </xdr:from>
    <xdr:to>
      <xdr:col>1</xdr:col>
      <xdr:colOff>243287</xdr:colOff>
      <xdr:row>73</xdr:row>
      <xdr:rowOff>0</xdr:rowOff>
    </xdr:to>
    <xdr:sp macro="" textlink="">
      <xdr:nvSpPr>
        <xdr:cNvPr id="4113" name="Text Box 17">
          <a:extLst>
            <a:ext uri="{FF2B5EF4-FFF2-40B4-BE49-F238E27FC236}">
              <a16:creationId xmlns:a16="http://schemas.microsoft.com/office/drawing/2014/main" id="{00000000-0008-0000-0200-000011100000}"/>
            </a:ext>
          </a:extLst>
        </xdr:cNvPr>
        <xdr:cNvSpPr txBox="1">
          <a:spLocks noChangeArrowheads="1"/>
        </xdr:cNvSpPr>
      </xdr:nvSpPr>
      <xdr:spPr bwMode="auto">
        <a:xfrm>
          <a:off x="247650" y="11649075"/>
          <a:ext cx="2381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成果物D</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177034</xdr:colOff>
      <xdr:row>73</xdr:row>
      <xdr:rowOff>0</xdr:rowOff>
    </xdr:to>
    <xdr:sp macro="" textlink="">
      <xdr:nvSpPr>
        <xdr:cNvPr id="4114" name="Text Box 18">
          <a:extLst>
            <a:ext uri="{FF2B5EF4-FFF2-40B4-BE49-F238E27FC236}">
              <a16:creationId xmlns:a16="http://schemas.microsoft.com/office/drawing/2014/main" id="{00000000-0008-0000-0200-000012100000}"/>
            </a:ext>
          </a:extLst>
        </xdr:cNvPr>
        <xdr:cNvSpPr txBox="1">
          <a:spLocks noChangeArrowheads="1"/>
        </xdr:cNvSpPr>
      </xdr:nvSpPr>
      <xdr:spPr bwMode="auto">
        <a:xfrm>
          <a:off x="247650" y="11649075"/>
          <a:ext cx="18097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成果物E</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164904</xdr:colOff>
      <xdr:row>73</xdr:row>
      <xdr:rowOff>0</xdr:rowOff>
    </xdr:to>
    <xdr:sp macro="" textlink="">
      <xdr:nvSpPr>
        <xdr:cNvPr id="4115" name="Text Box 19">
          <a:extLst>
            <a:ext uri="{FF2B5EF4-FFF2-40B4-BE49-F238E27FC236}">
              <a16:creationId xmlns:a16="http://schemas.microsoft.com/office/drawing/2014/main" id="{00000000-0008-0000-0200-000013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成果物F</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164904</xdr:colOff>
      <xdr:row>73</xdr:row>
      <xdr:rowOff>0</xdr:rowOff>
    </xdr:to>
    <xdr:sp macro="" textlink="">
      <xdr:nvSpPr>
        <xdr:cNvPr id="4116" name="Text Box 20">
          <a:extLst>
            <a:ext uri="{FF2B5EF4-FFF2-40B4-BE49-F238E27FC236}">
              <a16:creationId xmlns:a16="http://schemas.microsoft.com/office/drawing/2014/main" id="{00000000-0008-0000-0200-000014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成果物G</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224500</xdr:colOff>
      <xdr:row>73</xdr:row>
      <xdr:rowOff>0</xdr:rowOff>
    </xdr:to>
    <xdr:sp macro="" textlink="">
      <xdr:nvSpPr>
        <xdr:cNvPr id="4117" name="Text Box 21">
          <a:extLst>
            <a:ext uri="{FF2B5EF4-FFF2-40B4-BE49-F238E27FC236}">
              <a16:creationId xmlns:a16="http://schemas.microsoft.com/office/drawing/2014/main" id="{00000000-0008-0000-0200-000015100000}"/>
            </a:ext>
          </a:extLst>
        </xdr:cNvPr>
        <xdr:cNvSpPr txBox="1">
          <a:spLocks noChangeArrowheads="1"/>
        </xdr:cNvSpPr>
      </xdr:nvSpPr>
      <xdr:spPr bwMode="auto">
        <a:xfrm>
          <a:off x="247650" y="11649075"/>
          <a:ext cx="228600"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成果物H</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1</xdr:col>
      <xdr:colOff>1905</xdr:colOff>
      <xdr:row>73</xdr:row>
      <xdr:rowOff>0</xdr:rowOff>
    </xdr:from>
    <xdr:to>
      <xdr:col>1</xdr:col>
      <xdr:colOff>165989</xdr:colOff>
      <xdr:row>73</xdr:row>
      <xdr:rowOff>0</xdr:rowOff>
    </xdr:to>
    <xdr:sp macro="" textlink="">
      <xdr:nvSpPr>
        <xdr:cNvPr id="4118" name="Text Box 22">
          <a:extLst>
            <a:ext uri="{FF2B5EF4-FFF2-40B4-BE49-F238E27FC236}">
              <a16:creationId xmlns:a16="http://schemas.microsoft.com/office/drawing/2014/main" id="{00000000-0008-0000-0200-000016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成果物C</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1</xdr:col>
      <xdr:colOff>0</xdr:colOff>
      <xdr:row>73</xdr:row>
      <xdr:rowOff>0</xdr:rowOff>
    </xdr:from>
    <xdr:to>
      <xdr:col>1</xdr:col>
      <xdr:colOff>166038</xdr:colOff>
      <xdr:row>73</xdr:row>
      <xdr:rowOff>0</xdr:rowOff>
    </xdr:to>
    <xdr:sp macro="" textlink="">
      <xdr:nvSpPr>
        <xdr:cNvPr id="4119" name="Text Box 23">
          <a:extLst>
            <a:ext uri="{FF2B5EF4-FFF2-40B4-BE49-F238E27FC236}">
              <a16:creationId xmlns:a16="http://schemas.microsoft.com/office/drawing/2014/main" id="{00000000-0008-0000-0200-000017100000}"/>
            </a:ext>
          </a:extLst>
        </xdr:cNvPr>
        <xdr:cNvSpPr txBox="1">
          <a:spLocks noChangeArrowheads="1"/>
        </xdr:cNvSpPr>
      </xdr:nvSpPr>
      <xdr:spPr bwMode="auto">
        <a:xfrm>
          <a:off x="247650" y="11649075"/>
          <a:ext cx="16192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69840" tIns="27720" rIns="73440" bIns="31320" anchor="t" upright="1"/>
        <a:lstStyle/>
        <a:p>
          <a:pPr algn="l" rtl="0">
            <a:defRPr sz="1000"/>
          </a:pPr>
          <a:r>
            <a:rPr lang="ja-JP" altLang="en-US" sz="800" b="0" i="0" u="none" strike="noStrike" baseline="0">
              <a:solidFill>
                <a:srgbClr val="000000"/>
              </a:solidFill>
              <a:latin typeface="ＭＳ Ｐゴシック"/>
              <a:ea typeface="ＭＳ Ｐゴシック"/>
            </a:rPr>
            <a:t>成果物I</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0</xdr:col>
      <xdr:colOff>245745</xdr:colOff>
      <xdr:row>73</xdr:row>
      <xdr:rowOff>0</xdr:rowOff>
    </xdr:from>
    <xdr:to>
      <xdr:col>1</xdr:col>
      <xdr:colOff>215156</xdr:colOff>
      <xdr:row>73</xdr:row>
      <xdr:rowOff>0</xdr:rowOff>
    </xdr:to>
    <xdr:sp macro="" textlink="">
      <xdr:nvSpPr>
        <xdr:cNvPr id="4120" name="Text Box 24">
          <a:extLst>
            <a:ext uri="{FF2B5EF4-FFF2-40B4-BE49-F238E27FC236}">
              <a16:creationId xmlns:a16="http://schemas.microsoft.com/office/drawing/2014/main" id="{00000000-0008-0000-0200-000018100000}"/>
            </a:ext>
          </a:extLst>
        </xdr:cNvPr>
        <xdr:cNvSpPr txBox="1">
          <a:spLocks noChangeArrowheads="1"/>
        </xdr:cNvSpPr>
      </xdr:nvSpPr>
      <xdr:spPr bwMode="auto">
        <a:xfrm>
          <a:off x="247650" y="11649075"/>
          <a:ext cx="219075" cy="0"/>
        </a:xfrm>
        <a:prstGeom prst="rect">
          <a:avLst/>
        </a:prstGeom>
        <a:noFill/>
        <a:ln>
          <a:noFill/>
        </a:ln>
        <a:extLst>
          <a:ext uri="{909E8E84-426E-40DD-AFC4-6F175D3DCCD1}">
            <a14:hiddenFill xmlns:a14="http://schemas.microsoft.com/office/drawing/2010/main">
              <a:solidFill>
                <a:srgbClr val="FFFFE1"/>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成果物Ａ</a:t>
          </a: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ea typeface="ＭＳ Ｐゴシック"/>
            <a:cs typeface="Times New Roman"/>
          </a:endParaRPr>
        </a:p>
        <a:p>
          <a:pPr algn="l" rtl="0">
            <a:defRPr sz="1000"/>
          </a:pPr>
          <a:endParaRPr lang="ja-JP" altLang="en-US" sz="800" b="0" i="0" u="none" strike="noStrike" baseline="0">
            <a:solidFill>
              <a:srgbClr val="000000"/>
            </a:solidFill>
            <a:latin typeface="Times New Roman"/>
            <a:cs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1</xdr:row>
      <xdr:rowOff>9525</xdr:rowOff>
    </xdr:from>
    <xdr:to>
      <xdr:col>7</xdr:col>
      <xdr:colOff>5303816</xdr:colOff>
      <xdr:row>2</xdr:row>
      <xdr:rowOff>0</xdr:rowOff>
    </xdr:to>
    <xdr:sp macro="" textlink="">
      <xdr:nvSpPr>
        <xdr:cNvPr id="2" name="Rectangle 7">
          <a:extLst>
            <a:ext uri="{FF2B5EF4-FFF2-40B4-BE49-F238E27FC236}">
              <a16:creationId xmlns:a16="http://schemas.microsoft.com/office/drawing/2014/main" id="{00000000-0008-0000-0300-000002000000}"/>
            </a:ext>
          </a:extLst>
        </xdr:cNvPr>
        <xdr:cNvSpPr>
          <a:spLocks noChangeArrowheads="1"/>
        </xdr:cNvSpPr>
      </xdr:nvSpPr>
      <xdr:spPr bwMode="auto">
        <a:xfrm>
          <a:off x="2095500" y="152400"/>
          <a:ext cx="7770791" cy="209550"/>
        </a:xfrm>
        <a:prstGeom prst="rect">
          <a:avLst/>
        </a:prstGeom>
        <a:solidFill>
          <a:srgbClr val="FFFFCC"/>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※本シートは削除しないでください。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outlinePr summaryBelow="0" summaryRight="0"/>
    <pageSetUpPr fitToPage="1"/>
  </sheetPr>
  <dimension ref="B1:Q77"/>
  <sheetViews>
    <sheetView showGridLines="0" view="pageBreakPreview" zoomScaleNormal="100" zoomScaleSheetLayoutView="100" workbookViewId="0"/>
  </sheetViews>
  <sheetFormatPr defaultColWidth="2.21875" defaultRowHeight="10.8"/>
  <cols>
    <col min="1" max="12" width="2.21875" style="7" customWidth="1"/>
    <col min="13" max="13" width="2.77734375" style="7" customWidth="1"/>
    <col min="14" max="14" width="12.77734375" style="7" bestFit="1" customWidth="1"/>
    <col min="15" max="15" width="48.109375" style="7" customWidth="1"/>
    <col min="16" max="16" width="2.77734375" style="7" customWidth="1"/>
    <col min="17" max="17" width="50" style="7" customWidth="1"/>
    <col min="18" max="16384" width="2.21875" style="7"/>
  </cols>
  <sheetData>
    <row r="1" spans="2:17">
      <c r="Q1" s="156" t="s">
        <v>337</v>
      </c>
    </row>
    <row r="2" spans="2:17" ht="16.2">
      <c r="B2" s="79" t="s">
        <v>42</v>
      </c>
      <c r="F2" s="25"/>
    </row>
    <row r="4" spans="2:17">
      <c r="C4" s="7" t="s">
        <v>43</v>
      </c>
    </row>
    <row r="5" spans="2:17">
      <c r="C5" s="7" t="s">
        <v>44</v>
      </c>
    </row>
    <row r="7" spans="2:17">
      <c r="C7" s="7" t="s">
        <v>152</v>
      </c>
      <c r="D7" s="7" t="s">
        <v>153</v>
      </c>
    </row>
    <row r="8" spans="2:17">
      <c r="D8" s="7" t="s">
        <v>128</v>
      </c>
      <c r="E8" s="7" t="s">
        <v>129</v>
      </c>
      <c r="M8" s="7" t="s">
        <v>150</v>
      </c>
    </row>
    <row r="9" spans="2:17">
      <c r="D9" s="7" t="s">
        <v>128</v>
      </c>
      <c r="E9" s="7" t="s">
        <v>166</v>
      </c>
      <c r="M9" s="7" t="s">
        <v>218</v>
      </c>
    </row>
    <row r="10" spans="2:17">
      <c r="M10" s="7" t="s">
        <v>250</v>
      </c>
    </row>
    <row r="11" spans="2:17">
      <c r="D11" s="7" t="s">
        <v>128</v>
      </c>
      <c r="E11" s="7" t="s">
        <v>156</v>
      </c>
      <c r="M11" s="7" t="s">
        <v>165</v>
      </c>
    </row>
    <row r="13" spans="2:17">
      <c r="C13" s="7" t="s">
        <v>152</v>
      </c>
      <c r="D13" s="7" t="s">
        <v>154</v>
      </c>
    </row>
    <row r="14" spans="2:17">
      <c r="D14" s="7" t="s">
        <v>155</v>
      </c>
    </row>
    <row r="15" spans="2:17" ht="13.5" customHeight="1">
      <c r="D15" s="6" t="s">
        <v>45</v>
      </c>
      <c r="E15" s="5"/>
      <c r="F15" s="5"/>
      <c r="G15" s="5"/>
      <c r="H15" s="5"/>
      <c r="I15" s="5"/>
      <c r="J15" s="5"/>
      <c r="K15" s="5"/>
      <c r="L15" s="3"/>
      <c r="M15" s="413" t="s">
        <v>49</v>
      </c>
      <c r="N15" s="414"/>
      <c r="O15" s="414"/>
      <c r="P15" s="415"/>
      <c r="Q15" s="11" t="s">
        <v>50</v>
      </c>
    </row>
    <row r="16" spans="2:17">
      <c r="D16" s="428" t="s">
        <v>144</v>
      </c>
      <c r="E16" s="429"/>
      <c r="F16" s="429"/>
      <c r="G16" s="429"/>
      <c r="H16" s="429"/>
      <c r="I16" s="429"/>
      <c r="J16" s="429"/>
      <c r="K16" s="429"/>
      <c r="L16" s="429"/>
      <c r="M16" s="429"/>
      <c r="N16" s="429"/>
      <c r="O16" s="429"/>
      <c r="P16" s="429"/>
      <c r="Q16" s="430"/>
    </row>
    <row r="17" spans="4:17" ht="60.6" customHeight="1">
      <c r="D17" s="166" t="s">
        <v>318</v>
      </c>
      <c r="E17" s="167"/>
      <c r="F17" s="167"/>
      <c r="G17" s="167"/>
      <c r="H17" s="167"/>
      <c r="I17" s="167"/>
      <c r="J17" s="167"/>
      <c r="K17" s="167"/>
      <c r="L17" s="168"/>
      <c r="M17" s="420" t="s">
        <v>319</v>
      </c>
      <c r="N17" s="420"/>
      <c r="O17" s="420"/>
      <c r="P17" s="421"/>
      <c r="Q17" s="29" t="s">
        <v>320</v>
      </c>
    </row>
    <row r="18" spans="4:17" ht="111" customHeight="1">
      <c r="D18" s="6" t="s">
        <v>23</v>
      </c>
      <c r="E18" s="5"/>
      <c r="F18" s="5"/>
      <c r="G18" s="5"/>
      <c r="H18" s="5"/>
      <c r="I18" s="5"/>
      <c r="J18" s="5"/>
      <c r="K18" s="5"/>
      <c r="L18" s="3"/>
      <c r="M18" s="420" t="s">
        <v>231</v>
      </c>
      <c r="N18" s="420"/>
      <c r="O18" s="420"/>
      <c r="P18" s="421"/>
      <c r="Q18" s="29" t="s">
        <v>160</v>
      </c>
    </row>
    <row r="19" spans="4:17" ht="166.2" customHeight="1">
      <c r="D19" s="6" t="s">
        <v>68</v>
      </c>
      <c r="E19" s="5"/>
      <c r="F19" s="5"/>
      <c r="G19" s="5"/>
      <c r="H19" s="5"/>
      <c r="I19" s="5"/>
      <c r="J19" s="5"/>
      <c r="K19" s="5"/>
      <c r="L19" s="3"/>
      <c r="M19" s="420" t="s">
        <v>336</v>
      </c>
      <c r="N19" s="420"/>
      <c r="O19" s="420"/>
      <c r="P19" s="421"/>
      <c r="Q19" s="29" t="s">
        <v>137</v>
      </c>
    </row>
    <row r="20" spans="4:17" ht="64.5" customHeight="1">
      <c r="D20" s="6" t="s">
        <v>15</v>
      </c>
      <c r="E20" s="5"/>
      <c r="F20" s="5"/>
      <c r="G20" s="5"/>
      <c r="H20" s="5"/>
      <c r="I20" s="5"/>
      <c r="J20" s="5"/>
      <c r="K20" s="5"/>
      <c r="L20" s="3"/>
      <c r="M20" s="420" t="s">
        <v>230</v>
      </c>
      <c r="N20" s="420"/>
      <c r="O20" s="420"/>
      <c r="P20" s="421"/>
      <c r="Q20" s="29" t="s">
        <v>138</v>
      </c>
    </row>
    <row r="21" spans="4:17" ht="89.25" customHeight="1">
      <c r="D21" s="6" t="s">
        <v>141</v>
      </c>
      <c r="E21" s="5"/>
      <c r="F21" s="5"/>
      <c r="G21" s="5"/>
      <c r="H21" s="5"/>
      <c r="I21" s="5"/>
      <c r="J21" s="5"/>
      <c r="K21" s="5"/>
      <c r="L21" s="3"/>
      <c r="M21" s="420" t="s">
        <v>232</v>
      </c>
      <c r="N21" s="420"/>
      <c r="O21" s="420"/>
      <c r="P21" s="421"/>
      <c r="Q21" s="29"/>
    </row>
    <row r="22" spans="4:17" ht="90.75" customHeight="1">
      <c r="D22" s="6" t="s">
        <v>130</v>
      </c>
      <c r="E22" s="5"/>
      <c r="F22" s="5"/>
      <c r="G22" s="5"/>
      <c r="H22" s="5"/>
      <c r="I22" s="5"/>
      <c r="J22" s="5"/>
      <c r="K22" s="5"/>
      <c r="L22" s="3"/>
      <c r="M22" s="420" t="s">
        <v>158</v>
      </c>
      <c r="N22" s="420"/>
      <c r="O22" s="420"/>
      <c r="P22" s="421"/>
      <c r="Q22" s="29" t="s">
        <v>159</v>
      </c>
    </row>
    <row r="23" spans="4:17" ht="27" customHeight="1">
      <c r="D23" s="6" t="s">
        <v>139</v>
      </c>
      <c r="E23" s="5"/>
      <c r="F23" s="5"/>
      <c r="G23" s="5"/>
      <c r="H23" s="5"/>
      <c r="I23" s="5"/>
      <c r="J23" s="5"/>
      <c r="K23" s="5"/>
      <c r="L23" s="3"/>
      <c r="M23" s="420" t="s">
        <v>247</v>
      </c>
      <c r="N23" s="420"/>
      <c r="O23" s="420"/>
      <c r="P23" s="421"/>
      <c r="Q23" s="29" t="s">
        <v>140</v>
      </c>
    </row>
    <row r="24" spans="4:17" ht="31.5" customHeight="1">
      <c r="D24" s="8" t="s">
        <v>229</v>
      </c>
      <c r="E24" s="12"/>
      <c r="F24" s="12"/>
      <c r="G24" s="12"/>
      <c r="H24" s="12"/>
      <c r="I24" s="12"/>
      <c r="J24" s="12"/>
      <c r="K24" s="12"/>
      <c r="L24" s="9"/>
      <c r="M24" s="422" t="s">
        <v>245</v>
      </c>
      <c r="N24" s="422"/>
      <c r="O24" s="422"/>
      <c r="P24" s="423"/>
      <c r="Q24" s="35"/>
    </row>
    <row r="25" spans="4:17">
      <c r="D25" s="10"/>
      <c r="E25" s="33"/>
      <c r="F25" s="33"/>
      <c r="G25" s="33"/>
      <c r="H25" s="33"/>
      <c r="I25" s="33"/>
      <c r="J25" s="33"/>
      <c r="K25" s="33"/>
      <c r="L25" s="139"/>
      <c r="M25" s="148"/>
      <c r="N25" s="424" t="s">
        <v>244</v>
      </c>
      <c r="O25" s="425"/>
      <c r="P25" s="146"/>
      <c r="Q25" s="142"/>
    </row>
    <row r="26" spans="4:17">
      <c r="D26" s="10"/>
      <c r="E26" s="33"/>
      <c r="F26" s="33"/>
      <c r="G26" s="33"/>
      <c r="H26" s="33"/>
      <c r="I26" s="33"/>
      <c r="J26" s="33"/>
      <c r="K26" s="33"/>
      <c r="L26" s="139"/>
      <c r="M26" s="148"/>
      <c r="N26" s="426" t="s">
        <v>242</v>
      </c>
      <c r="O26" s="427"/>
      <c r="P26" s="146"/>
      <c r="Q26" s="142"/>
    </row>
    <row r="27" spans="4:17">
      <c r="D27" s="10"/>
      <c r="E27" s="33"/>
      <c r="F27" s="33"/>
      <c r="G27" s="33"/>
      <c r="H27" s="33"/>
      <c r="I27" s="33"/>
      <c r="J27" s="33"/>
      <c r="K27" s="33"/>
      <c r="L27" s="139"/>
      <c r="M27" s="148"/>
      <c r="N27" s="431" t="s">
        <v>234</v>
      </c>
      <c r="O27" s="432"/>
      <c r="P27" s="146"/>
      <c r="Q27" s="142"/>
    </row>
    <row r="28" spans="4:17">
      <c r="D28" s="10"/>
      <c r="E28" s="33"/>
      <c r="F28" s="33"/>
      <c r="G28" s="33"/>
      <c r="H28" s="33"/>
      <c r="I28" s="33"/>
      <c r="J28" s="33"/>
      <c r="K28" s="33"/>
      <c r="L28" s="139"/>
      <c r="M28" s="148"/>
      <c r="N28" s="431" t="s">
        <v>240</v>
      </c>
      <c r="O28" s="432"/>
      <c r="P28" s="146"/>
      <c r="Q28" s="142"/>
    </row>
    <row r="29" spans="4:17">
      <c r="D29" s="10"/>
      <c r="E29" s="33"/>
      <c r="F29" s="33"/>
      <c r="G29" s="33"/>
      <c r="H29" s="33"/>
      <c r="I29" s="33"/>
      <c r="J29" s="33"/>
      <c r="K29" s="33"/>
      <c r="L29" s="139"/>
      <c r="M29" s="148"/>
      <c r="N29" s="431" t="s">
        <v>243</v>
      </c>
      <c r="O29" s="432"/>
      <c r="P29" s="146"/>
      <c r="Q29" s="142"/>
    </row>
    <row r="30" spans="4:17">
      <c r="D30" s="10"/>
      <c r="E30" s="33"/>
      <c r="F30" s="33"/>
      <c r="G30" s="33"/>
      <c r="H30" s="33"/>
      <c r="I30" s="33"/>
      <c r="J30" s="33"/>
      <c r="K30" s="33"/>
      <c r="L30" s="139"/>
      <c r="M30" s="148"/>
      <c r="N30" s="431" t="s">
        <v>246</v>
      </c>
      <c r="O30" s="432"/>
      <c r="P30" s="146"/>
      <c r="Q30" s="142"/>
    </row>
    <row r="31" spans="4:17">
      <c r="D31" s="10"/>
      <c r="E31" s="33"/>
      <c r="F31" s="33"/>
      <c r="G31" s="33"/>
      <c r="H31" s="33"/>
      <c r="I31" s="33"/>
      <c r="J31" s="33"/>
      <c r="K31" s="33"/>
      <c r="L31" s="139"/>
      <c r="M31" s="148"/>
      <c r="N31" s="431" t="s">
        <v>241</v>
      </c>
      <c r="O31" s="432"/>
      <c r="P31" s="146"/>
      <c r="Q31" s="142"/>
    </row>
    <row r="32" spans="4:17">
      <c r="D32" s="10"/>
      <c r="E32" s="33"/>
      <c r="F32" s="33"/>
      <c r="G32" s="33"/>
      <c r="H32" s="33"/>
      <c r="I32" s="33"/>
      <c r="J32" s="33"/>
      <c r="K32" s="33"/>
      <c r="L32" s="139"/>
      <c r="M32" s="148"/>
      <c r="N32" s="431" t="s">
        <v>235</v>
      </c>
      <c r="O32" s="432"/>
      <c r="P32" s="146"/>
      <c r="Q32" s="142"/>
    </row>
    <row r="33" spans="4:17">
      <c r="D33" s="10"/>
      <c r="E33" s="33"/>
      <c r="F33" s="33"/>
      <c r="G33" s="33"/>
      <c r="H33" s="33"/>
      <c r="I33" s="33"/>
      <c r="J33" s="33"/>
      <c r="K33" s="33"/>
      <c r="L33" s="139"/>
      <c r="M33" s="148"/>
      <c r="N33" s="431" t="s">
        <v>236</v>
      </c>
      <c r="O33" s="432"/>
      <c r="P33" s="146"/>
      <c r="Q33" s="142"/>
    </row>
    <row r="34" spans="4:17">
      <c r="D34" s="10"/>
      <c r="E34" s="33"/>
      <c r="F34" s="33"/>
      <c r="G34" s="33"/>
      <c r="H34" s="33"/>
      <c r="I34" s="33"/>
      <c r="J34" s="33"/>
      <c r="K34" s="33"/>
      <c r="L34" s="139"/>
      <c r="M34" s="148"/>
      <c r="N34" s="431" t="s">
        <v>237</v>
      </c>
      <c r="O34" s="432"/>
      <c r="P34" s="146"/>
      <c r="Q34" s="142"/>
    </row>
    <row r="35" spans="4:17">
      <c r="D35" s="10"/>
      <c r="E35" s="33"/>
      <c r="F35" s="33"/>
      <c r="G35" s="33"/>
      <c r="H35" s="33"/>
      <c r="I35" s="33"/>
      <c r="J35" s="33"/>
      <c r="K35" s="33"/>
      <c r="L35" s="139"/>
      <c r="M35" s="148"/>
      <c r="N35" s="438"/>
      <c r="O35" s="439"/>
      <c r="P35" s="146"/>
      <c r="Q35" s="142"/>
    </row>
    <row r="36" spans="4:17">
      <c r="D36" s="24"/>
      <c r="E36" s="140"/>
      <c r="F36" s="140"/>
      <c r="G36" s="140"/>
      <c r="H36" s="140"/>
      <c r="I36" s="140"/>
      <c r="J36" s="140"/>
      <c r="K36" s="140"/>
      <c r="L36" s="141"/>
      <c r="M36" s="149"/>
      <c r="N36" s="150"/>
      <c r="O36" s="150"/>
      <c r="P36" s="147"/>
      <c r="Q36" s="80"/>
    </row>
    <row r="37" spans="4:17" ht="94.5" customHeight="1">
      <c r="D37" s="6" t="s">
        <v>26</v>
      </c>
      <c r="E37" s="5"/>
      <c r="F37" s="5"/>
      <c r="G37" s="5"/>
      <c r="H37" s="5"/>
      <c r="I37" s="5"/>
      <c r="J37" s="5"/>
      <c r="K37" s="5"/>
      <c r="L37" s="3"/>
      <c r="M37" s="420" t="s">
        <v>248</v>
      </c>
      <c r="N37" s="420"/>
      <c r="O37" s="420"/>
      <c r="P37" s="421"/>
      <c r="Q37" s="29" t="s">
        <v>104</v>
      </c>
    </row>
    <row r="38" spans="4:17" ht="45.75" customHeight="1">
      <c r="D38" s="6" t="s">
        <v>147</v>
      </c>
      <c r="E38" s="5"/>
      <c r="F38" s="5"/>
      <c r="G38" s="5"/>
      <c r="H38" s="5"/>
      <c r="I38" s="5"/>
      <c r="J38" s="5"/>
      <c r="K38" s="5"/>
      <c r="L38" s="3"/>
      <c r="M38" s="420" t="s">
        <v>148</v>
      </c>
      <c r="N38" s="420"/>
      <c r="O38" s="420"/>
      <c r="P38" s="421"/>
      <c r="Q38" s="29"/>
    </row>
    <row r="39" spans="4:17" ht="52.5" customHeight="1">
      <c r="D39" s="6" t="s">
        <v>274</v>
      </c>
      <c r="E39" s="5"/>
      <c r="F39" s="5"/>
      <c r="G39" s="5"/>
      <c r="H39" s="5"/>
      <c r="I39" s="5"/>
      <c r="J39" s="5"/>
      <c r="K39" s="5"/>
      <c r="L39" s="3"/>
      <c r="M39" s="420" t="s">
        <v>275</v>
      </c>
      <c r="N39" s="420"/>
      <c r="O39" s="420"/>
      <c r="P39" s="421"/>
      <c r="Q39" s="29" t="s">
        <v>276</v>
      </c>
    </row>
    <row r="40" spans="4:17" ht="64.8">
      <c r="D40" s="6" t="s">
        <v>47</v>
      </c>
      <c r="E40" s="5"/>
      <c r="F40" s="5"/>
      <c r="G40" s="5"/>
      <c r="H40" s="5"/>
      <c r="I40" s="5"/>
      <c r="J40" s="5"/>
      <c r="K40" s="5"/>
      <c r="L40" s="3"/>
      <c r="M40" s="420" t="s">
        <v>13</v>
      </c>
      <c r="N40" s="420"/>
      <c r="O40" s="420"/>
      <c r="P40" s="421"/>
      <c r="Q40" s="29" t="s">
        <v>255</v>
      </c>
    </row>
    <row r="41" spans="4:17" ht="78" customHeight="1">
      <c r="D41" s="6" t="s">
        <v>48</v>
      </c>
      <c r="E41" s="5"/>
      <c r="F41" s="5"/>
      <c r="G41" s="5"/>
      <c r="H41" s="5"/>
      <c r="I41" s="5"/>
      <c r="J41" s="5"/>
      <c r="K41" s="5"/>
      <c r="L41" s="3"/>
      <c r="M41" s="420" t="s">
        <v>142</v>
      </c>
      <c r="N41" s="420"/>
      <c r="O41" s="420"/>
      <c r="P41" s="421"/>
      <c r="Q41" s="29" t="s">
        <v>149</v>
      </c>
    </row>
    <row r="42" spans="4:17">
      <c r="D42" s="428" t="s">
        <v>145</v>
      </c>
      <c r="E42" s="429"/>
      <c r="F42" s="429"/>
      <c r="G42" s="429"/>
      <c r="H42" s="429"/>
      <c r="I42" s="429"/>
      <c r="J42" s="429"/>
      <c r="K42" s="429"/>
      <c r="L42" s="429"/>
      <c r="M42" s="429"/>
      <c r="N42" s="429"/>
      <c r="O42" s="429"/>
      <c r="P42" s="429"/>
      <c r="Q42" s="430"/>
    </row>
    <row r="43" spans="4:17" ht="48" customHeight="1">
      <c r="D43" s="8" t="s">
        <v>20</v>
      </c>
      <c r="E43" s="12"/>
      <c r="F43" s="12"/>
      <c r="G43" s="12"/>
      <c r="H43" s="12"/>
      <c r="I43" s="12"/>
      <c r="J43" s="12"/>
      <c r="K43" s="12"/>
      <c r="L43" s="9"/>
      <c r="M43" s="433" t="s">
        <v>143</v>
      </c>
      <c r="N43" s="433"/>
      <c r="O43" s="433"/>
      <c r="P43" s="434"/>
      <c r="Q43" s="31" t="s">
        <v>12</v>
      </c>
    </row>
    <row r="44" spans="4:17" ht="55.5" customHeight="1">
      <c r="D44" s="82"/>
      <c r="E44" s="152" t="s">
        <v>262</v>
      </c>
      <c r="F44" s="46"/>
      <c r="G44" s="46"/>
      <c r="H44" s="46"/>
      <c r="I44" s="46"/>
      <c r="J44" s="46"/>
      <c r="K44" s="46"/>
      <c r="L44" s="47"/>
      <c r="M44" s="435" t="s">
        <v>269</v>
      </c>
      <c r="N44" s="435"/>
      <c r="O44" s="435"/>
      <c r="P44" s="436"/>
      <c r="Q44" s="440"/>
    </row>
    <row r="45" spans="4:17">
      <c r="D45" s="82"/>
      <c r="E45" s="153"/>
      <c r="F45" s="33"/>
      <c r="G45" s="33"/>
      <c r="H45" s="33"/>
      <c r="I45" s="33"/>
      <c r="J45" s="33"/>
      <c r="K45" s="33"/>
      <c r="L45" s="139"/>
      <c r="M45" s="32"/>
      <c r="N45" s="437" t="s">
        <v>254</v>
      </c>
      <c r="O45" s="437"/>
      <c r="P45" s="154"/>
      <c r="Q45" s="441"/>
    </row>
    <row r="46" spans="4:17">
      <c r="D46" s="82"/>
      <c r="E46" s="153"/>
      <c r="F46" s="33"/>
      <c r="G46" s="33"/>
      <c r="H46" s="33"/>
      <c r="I46" s="33"/>
      <c r="J46" s="33"/>
      <c r="K46" s="33"/>
      <c r="L46" s="139"/>
      <c r="M46" s="32"/>
      <c r="N46" s="157" t="s">
        <v>262</v>
      </c>
      <c r="O46" s="158"/>
      <c r="P46" s="154"/>
      <c r="Q46" s="441"/>
    </row>
    <row r="47" spans="4:17">
      <c r="D47" s="10"/>
      <c r="E47" s="153"/>
      <c r="F47" s="33"/>
      <c r="G47" s="33"/>
      <c r="H47" s="33"/>
      <c r="I47" s="33"/>
      <c r="J47" s="33"/>
      <c r="K47" s="33"/>
      <c r="L47" s="139"/>
      <c r="M47" s="148"/>
      <c r="N47" s="151" t="s">
        <v>252</v>
      </c>
      <c r="O47" s="151" t="s">
        <v>253</v>
      </c>
      <c r="P47" s="146"/>
      <c r="Q47" s="441"/>
    </row>
    <row r="48" spans="4:17">
      <c r="D48" s="10"/>
      <c r="E48" s="153"/>
      <c r="F48" s="33"/>
      <c r="G48" s="33"/>
      <c r="H48" s="33"/>
      <c r="I48" s="33"/>
      <c r="J48" s="33"/>
      <c r="K48" s="33"/>
      <c r="L48" s="139"/>
      <c r="M48" s="148"/>
      <c r="N48" s="63" t="s">
        <v>263</v>
      </c>
      <c r="O48" s="35" t="s">
        <v>266</v>
      </c>
      <c r="P48" s="146"/>
      <c r="Q48" s="441"/>
    </row>
    <row r="49" spans="4:17" ht="21.6">
      <c r="D49" s="10"/>
      <c r="E49" s="153"/>
      <c r="F49" s="33"/>
      <c r="G49" s="33"/>
      <c r="H49" s="33"/>
      <c r="I49" s="33"/>
      <c r="J49" s="33"/>
      <c r="K49" s="33"/>
      <c r="L49" s="139"/>
      <c r="M49" s="148"/>
      <c r="N49" s="65" t="s">
        <v>264</v>
      </c>
      <c r="O49" s="124" t="s">
        <v>268</v>
      </c>
      <c r="P49" s="146"/>
      <c r="Q49" s="441"/>
    </row>
    <row r="50" spans="4:17">
      <c r="D50" s="10"/>
      <c r="E50" s="153"/>
      <c r="F50" s="33"/>
      <c r="G50" s="33"/>
      <c r="H50" s="33"/>
      <c r="I50" s="33"/>
      <c r="J50" s="33"/>
      <c r="K50" s="33"/>
      <c r="L50" s="139"/>
      <c r="M50" s="148"/>
      <c r="N50" s="65" t="s">
        <v>265</v>
      </c>
      <c r="O50" s="124" t="s">
        <v>267</v>
      </c>
      <c r="P50" s="146"/>
      <c r="Q50" s="441"/>
    </row>
    <row r="51" spans="4:17">
      <c r="D51" s="10"/>
      <c r="E51" s="153"/>
      <c r="F51" s="33"/>
      <c r="G51" s="33"/>
      <c r="H51" s="33"/>
      <c r="I51" s="33"/>
      <c r="J51" s="33"/>
      <c r="K51" s="33"/>
      <c r="L51" s="139"/>
      <c r="M51" s="148"/>
      <c r="N51" s="65"/>
      <c r="O51" s="65"/>
      <c r="P51" s="146"/>
      <c r="Q51" s="441"/>
    </row>
    <row r="52" spans="4:17">
      <c r="D52" s="10"/>
      <c r="E52" s="153"/>
      <c r="F52" s="33"/>
      <c r="G52" s="33"/>
      <c r="H52" s="33"/>
      <c r="I52" s="33"/>
      <c r="J52" s="33"/>
      <c r="K52" s="33"/>
      <c r="L52" s="139"/>
      <c r="M52" s="148"/>
      <c r="N52" s="113"/>
      <c r="O52" s="113"/>
      <c r="P52" s="146"/>
      <c r="Q52" s="441"/>
    </row>
    <row r="53" spans="4:17">
      <c r="D53" s="24"/>
      <c r="E53" s="155"/>
      <c r="F53" s="140"/>
      <c r="G53" s="140"/>
      <c r="H53" s="140"/>
      <c r="I53" s="140"/>
      <c r="J53" s="140"/>
      <c r="K53" s="140"/>
      <c r="L53" s="141"/>
      <c r="M53" s="149"/>
      <c r="N53" s="150"/>
      <c r="O53" s="150"/>
      <c r="P53" s="147"/>
      <c r="Q53" s="442"/>
    </row>
    <row r="54" spans="4:17" ht="249.75" customHeight="1">
      <c r="D54" s="83"/>
      <c r="E54" s="84" t="s">
        <v>54</v>
      </c>
      <c r="F54" s="40"/>
      <c r="G54" s="40"/>
      <c r="H54" s="40"/>
      <c r="I54" s="40"/>
      <c r="J54" s="40"/>
      <c r="K54" s="40"/>
      <c r="L54" s="41"/>
      <c r="M54" s="418" t="s">
        <v>334</v>
      </c>
      <c r="N54" s="418"/>
      <c r="O54" s="418"/>
      <c r="P54" s="419"/>
      <c r="Q54" s="1"/>
    </row>
    <row r="55" spans="4:17" ht="24.75" customHeight="1">
      <c r="D55" s="85" t="s">
        <v>21</v>
      </c>
      <c r="E55" s="86"/>
      <c r="F55" s="86"/>
      <c r="G55" s="86"/>
      <c r="H55" s="86"/>
      <c r="I55" s="86"/>
      <c r="J55" s="86"/>
      <c r="K55" s="86"/>
      <c r="L55" s="100"/>
      <c r="M55" s="433" t="s">
        <v>233</v>
      </c>
      <c r="N55" s="433"/>
      <c r="O55" s="433"/>
      <c r="P55" s="434"/>
      <c r="Q55" s="31"/>
    </row>
    <row r="56" spans="4:17" ht="65.25" customHeight="1">
      <c r="D56" s="87"/>
      <c r="E56" s="88" t="s">
        <v>146</v>
      </c>
      <c r="F56" s="89"/>
      <c r="G56" s="89"/>
      <c r="H56" s="89"/>
      <c r="I56" s="89"/>
      <c r="J56" s="89"/>
      <c r="K56" s="89"/>
      <c r="L56" s="59"/>
      <c r="M56" s="416" t="s">
        <v>280</v>
      </c>
      <c r="N56" s="416"/>
      <c r="O56" s="416"/>
      <c r="P56" s="417"/>
      <c r="Q56" s="4" t="s">
        <v>260</v>
      </c>
    </row>
    <row r="57" spans="4:17" ht="45.75" customHeight="1">
      <c r="D57" s="90"/>
      <c r="E57" s="91" t="s">
        <v>278</v>
      </c>
      <c r="F57" s="92"/>
      <c r="G57" s="92"/>
      <c r="H57" s="92"/>
      <c r="I57" s="92"/>
      <c r="J57" s="92"/>
      <c r="K57" s="92"/>
      <c r="L57" s="143"/>
      <c r="M57" s="418" t="s">
        <v>279</v>
      </c>
      <c r="N57" s="418"/>
      <c r="O57" s="418"/>
      <c r="P57" s="419"/>
      <c r="Q57" s="81"/>
    </row>
    <row r="58" spans="4:17" ht="273" customHeight="1">
      <c r="D58" s="93" t="s">
        <v>22</v>
      </c>
      <c r="E58" s="94"/>
      <c r="F58" s="95"/>
      <c r="G58" s="95"/>
      <c r="H58" s="95"/>
      <c r="I58" s="95"/>
      <c r="J58" s="95"/>
      <c r="K58" s="95"/>
      <c r="L58" s="144"/>
      <c r="M58" s="420" t="s">
        <v>323</v>
      </c>
      <c r="N58" s="420"/>
      <c r="O58" s="420"/>
      <c r="P58" s="421"/>
      <c r="Q58" s="80" t="s">
        <v>335</v>
      </c>
    </row>
    <row r="59" spans="4:17" ht="48" customHeight="1">
      <c r="D59" s="136" t="s">
        <v>226</v>
      </c>
      <c r="E59" s="137"/>
      <c r="F59" s="138"/>
      <c r="G59" s="138"/>
      <c r="H59" s="138"/>
      <c r="I59" s="138"/>
      <c r="J59" s="138"/>
      <c r="K59" s="138"/>
      <c r="L59" s="145"/>
      <c r="M59" s="420" t="s">
        <v>227</v>
      </c>
      <c r="N59" s="420"/>
      <c r="O59" s="420"/>
      <c r="P59" s="421"/>
      <c r="Q59" s="80" t="s">
        <v>261</v>
      </c>
    </row>
    <row r="60" spans="4:17">
      <c r="D60" s="163" t="s">
        <v>307</v>
      </c>
      <c r="E60" s="164"/>
      <c r="F60" s="164"/>
      <c r="G60" s="164"/>
      <c r="H60" s="164"/>
      <c r="I60" s="164"/>
      <c r="J60" s="164"/>
      <c r="K60" s="164"/>
      <c r="L60" s="164"/>
      <c r="M60" s="164"/>
      <c r="N60" s="164"/>
      <c r="O60" s="164"/>
      <c r="P60" s="164"/>
      <c r="Q60" s="165"/>
    </row>
    <row r="61" spans="4:17" ht="43.2" customHeight="1">
      <c r="D61" s="6" t="s">
        <v>301</v>
      </c>
      <c r="E61" s="5"/>
      <c r="F61" s="5"/>
      <c r="G61" s="5"/>
      <c r="H61" s="5"/>
      <c r="I61" s="5"/>
      <c r="J61" s="5"/>
      <c r="K61" s="5"/>
      <c r="L61" s="3"/>
      <c r="M61" s="420" t="s">
        <v>321</v>
      </c>
      <c r="N61" s="420"/>
      <c r="O61" s="420"/>
      <c r="P61" s="421"/>
      <c r="Q61" s="29"/>
    </row>
    <row r="62" spans="4:17" ht="64.8">
      <c r="D62" s="159" t="s">
        <v>302</v>
      </c>
      <c r="E62" s="160"/>
      <c r="F62" s="161"/>
      <c r="G62" s="161"/>
      <c r="H62" s="161"/>
      <c r="I62" s="161"/>
      <c r="J62" s="161"/>
      <c r="K62" s="161"/>
      <c r="L62" s="162"/>
      <c r="M62" s="420" t="s">
        <v>324</v>
      </c>
      <c r="N62" s="420"/>
      <c r="O62" s="420"/>
      <c r="P62" s="421"/>
      <c r="Q62" s="29" t="s">
        <v>308</v>
      </c>
    </row>
    <row r="63" spans="4:17" ht="24.75" customHeight="1">
      <c r="D63" s="85" t="s">
        <v>309</v>
      </c>
      <c r="E63" s="86"/>
      <c r="F63" s="86"/>
      <c r="G63" s="86"/>
      <c r="H63" s="86"/>
      <c r="I63" s="86"/>
      <c r="J63" s="86"/>
      <c r="K63" s="86"/>
      <c r="L63" s="100"/>
      <c r="M63" s="433" t="s">
        <v>310</v>
      </c>
      <c r="N63" s="433"/>
      <c r="O63" s="433"/>
      <c r="P63" s="434"/>
      <c r="Q63" s="31"/>
    </row>
    <row r="64" spans="4:17" ht="24.6" customHeight="1">
      <c r="D64" s="87"/>
      <c r="E64" s="88" t="s">
        <v>303</v>
      </c>
      <c r="F64" s="89"/>
      <c r="G64" s="89"/>
      <c r="H64" s="89"/>
      <c r="I64" s="89"/>
      <c r="J64" s="89"/>
      <c r="K64" s="89"/>
      <c r="L64" s="59"/>
      <c r="M64" s="416" t="s">
        <v>325</v>
      </c>
      <c r="N64" s="416"/>
      <c r="O64" s="416"/>
      <c r="P64" s="417"/>
      <c r="Q64" s="4"/>
    </row>
    <row r="65" spans="4:17" ht="24.75" customHeight="1">
      <c r="D65" s="85" t="s">
        <v>284</v>
      </c>
      <c r="E65" s="86"/>
      <c r="F65" s="86"/>
      <c r="G65" s="86"/>
      <c r="H65" s="86"/>
      <c r="I65" s="86"/>
      <c r="J65" s="86"/>
      <c r="K65" s="86"/>
      <c r="L65" s="100"/>
      <c r="M65" s="433" t="s">
        <v>311</v>
      </c>
      <c r="N65" s="433"/>
      <c r="O65" s="433"/>
      <c r="P65" s="434"/>
      <c r="Q65" s="31"/>
    </row>
    <row r="66" spans="4:17" ht="28.2" customHeight="1">
      <c r="D66" s="87"/>
      <c r="E66" s="88" t="s">
        <v>303</v>
      </c>
      <c r="F66" s="89"/>
      <c r="G66" s="89"/>
      <c r="H66" s="89"/>
      <c r="I66" s="89"/>
      <c r="J66" s="89"/>
      <c r="K66" s="89"/>
      <c r="L66" s="59"/>
      <c r="M66" s="416" t="s">
        <v>312</v>
      </c>
      <c r="N66" s="416"/>
      <c r="O66" s="416"/>
      <c r="P66" s="417"/>
      <c r="Q66" s="4"/>
    </row>
    <row r="67" spans="4:17" ht="138.6" customHeight="1">
      <c r="D67" s="90"/>
      <c r="E67" s="91" t="s">
        <v>304</v>
      </c>
      <c r="F67" s="92"/>
      <c r="G67" s="92"/>
      <c r="H67" s="92"/>
      <c r="I67" s="92"/>
      <c r="J67" s="92"/>
      <c r="K67" s="92"/>
      <c r="L67" s="143"/>
      <c r="M67" s="418" t="s">
        <v>313</v>
      </c>
      <c r="N67" s="418"/>
      <c r="O67" s="418"/>
      <c r="P67" s="419"/>
      <c r="Q67" s="1" t="s">
        <v>330</v>
      </c>
    </row>
    <row r="68" spans="4:17" ht="27" customHeight="1">
      <c r="D68" s="159" t="s">
        <v>316</v>
      </c>
      <c r="E68" s="160"/>
      <c r="F68" s="161"/>
      <c r="G68" s="161"/>
      <c r="H68" s="161"/>
      <c r="I68" s="161"/>
      <c r="J68" s="161"/>
      <c r="K68" s="161"/>
      <c r="L68" s="162"/>
      <c r="M68" s="420" t="s">
        <v>328</v>
      </c>
      <c r="N68" s="420"/>
      <c r="O68" s="420"/>
      <c r="P68" s="421"/>
      <c r="Q68" s="29"/>
    </row>
    <row r="69" spans="4:17" ht="27" customHeight="1">
      <c r="D69" s="159" t="s">
        <v>317</v>
      </c>
      <c r="E69" s="160"/>
      <c r="F69" s="161"/>
      <c r="G69" s="161"/>
      <c r="H69" s="161"/>
      <c r="I69" s="161"/>
      <c r="J69" s="161"/>
      <c r="K69" s="161"/>
      <c r="L69" s="162"/>
      <c r="M69" s="420" t="s">
        <v>326</v>
      </c>
      <c r="N69" s="420"/>
      <c r="O69" s="420"/>
      <c r="P69" s="421"/>
      <c r="Q69" s="29"/>
    </row>
    <row r="70" spans="4:17" ht="214.2" customHeight="1">
      <c r="D70" s="93" t="s">
        <v>305</v>
      </c>
      <c r="E70" s="94"/>
      <c r="F70" s="95"/>
      <c r="G70" s="95"/>
      <c r="H70" s="95"/>
      <c r="I70" s="95"/>
      <c r="J70" s="95"/>
      <c r="K70" s="95"/>
      <c r="L70" s="144"/>
      <c r="M70" s="420" t="s">
        <v>327</v>
      </c>
      <c r="N70" s="420"/>
      <c r="O70" s="420"/>
      <c r="P70" s="421"/>
      <c r="Q70" s="80" t="s">
        <v>306</v>
      </c>
    </row>
    <row r="77" spans="4:17">
      <c r="P77" s="32"/>
    </row>
  </sheetData>
  <mergeCells count="47">
    <mergeCell ref="N35:O35"/>
    <mergeCell ref="M67:P67"/>
    <mergeCell ref="M64:P64"/>
    <mergeCell ref="Q44:Q53"/>
    <mergeCell ref="N30:O30"/>
    <mergeCell ref="N31:O31"/>
    <mergeCell ref="M61:P61"/>
    <mergeCell ref="M62:P62"/>
    <mergeCell ref="N32:O32"/>
    <mergeCell ref="N33:O33"/>
    <mergeCell ref="M70:P70"/>
    <mergeCell ref="M63:P63"/>
    <mergeCell ref="M68:P68"/>
    <mergeCell ref="M69:P69"/>
    <mergeCell ref="N34:O34"/>
    <mergeCell ref="M39:P39"/>
    <mergeCell ref="D42:Q42"/>
    <mergeCell ref="M58:P58"/>
    <mergeCell ref="M59:P59"/>
    <mergeCell ref="M43:P43"/>
    <mergeCell ref="M44:P44"/>
    <mergeCell ref="M54:P54"/>
    <mergeCell ref="M55:P55"/>
    <mergeCell ref="N45:O45"/>
    <mergeCell ref="M65:P65"/>
    <mergeCell ref="M66:P66"/>
    <mergeCell ref="D16:Q16"/>
    <mergeCell ref="M17:P17"/>
    <mergeCell ref="N27:O27"/>
    <mergeCell ref="N28:O28"/>
    <mergeCell ref="N29:O29"/>
    <mergeCell ref="M15:P15"/>
    <mergeCell ref="M56:P56"/>
    <mergeCell ref="M57:P57"/>
    <mergeCell ref="M38:P38"/>
    <mergeCell ref="M40:P40"/>
    <mergeCell ref="M41:P41"/>
    <mergeCell ref="M22:P22"/>
    <mergeCell ref="M23:P23"/>
    <mergeCell ref="M24:P24"/>
    <mergeCell ref="M37:P37"/>
    <mergeCell ref="M18:P18"/>
    <mergeCell ref="M19:P19"/>
    <mergeCell ref="M20:P20"/>
    <mergeCell ref="M21:P21"/>
    <mergeCell ref="N25:O25"/>
    <mergeCell ref="N26:O26"/>
  </mergeCells>
  <phoneticPr fontId="2"/>
  <pageMargins left="0.59055118110236227" right="0.39370078740157483" top="0.78740157480314965" bottom="0.59055118110236227" header="0.39370078740157483" footer="0.19685039370078741"/>
  <pageSetup paperSize="9" scale="97" fitToHeight="0" orientation="landscape" r:id="rId1"/>
  <headerFooter alignWithMargins="0">
    <oddFooter>&amp;L&amp;8&lt;&amp;F&gt;
&amp;10&amp;A&amp;C&amp;P / &amp;N&amp;R&amp;"HG創英角ｺﾞｼｯｸUB,ｳﾙﾄﾗﾎﾞｰﾙﾄﾞ"&amp;8三菱総研ＤＣＳ株式会社</oddFooter>
  </headerFooter>
  <rowBreaks count="1" manualBreakCount="1">
    <brk id="64" max="16"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autoPageBreaks="0" fitToPage="1"/>
  </sheetPr>
  <dimension ref="A1:AC137"/>
  <sheetViews>
    <sheetView showGridLines="0" tabSelected="1" view="pageBreakPreview" zoomScale="115" zoomScaleNormal="100" zoomScaleSheetLayoutView="115" workbookViewId="0">
      <selection activeCell="D29" sqref="D29:G29"/>
    </sheetView>
  </sheetViews>
  <sheetFormatPr defaultColWidth="2.44140625" defaultRowHeight="10.8" outlineLevelRow="1" outlineLevelCol="1"/>
  <cols>
    <col min="1" max="1" width="3.77734375" style="172" customWidth="1"/>
    <col min="2" max="2" width="8.6640625" style="172" customWidth="1"/>
    <col min="3" max="4" width="15" style="172" customWidth="1"/>
    <col min="5" max="7" width="3.109375" style="172" customWidth="1" outlineLevel="1"/>
    <col min="8" max="8" width="15" style="172" customWidth="1"/>
    <col min="9" max="9" width="37.44140625" style="172" customWidth="1"/>
    <col min="10" max="11" width="7.44140625" style="172" customWidth="1"/>
    <col min="12" max="12" width="10" style="173" customWidth="1"/>
    <col min="13" max="13" width="37.44140625" style="172" customWidth="1"/>
    <col min="14" max="15" width="8.109375" style="172" customWidth="1"/>
    <col min="16" max="16" width="6.6640625" style="173" bestFit="1" customWidth="1"/>
    <col min="17" max="17" width="8.109375" style="172" customWidth="1"/>
    <col min="18" max="18" width="8.109375" style="215" customWidth="1"/>
    <col min="19" max="19" width="7.109375" style="173" customWidth="1" outlineLevel="1"/>
    <col min="20" max="20" width="7.109375" style="172" customWidth="1" outlineLevel="1"/>
    <col min="21" max="21" width="2.44140625" style="172"/>
    <col min="22" max="22" width="7.77734375" style="172" customWidth="1" outlineLevel="1"/>
    <col min="23" max="25" width="27.5546875" style="172" customWidth="1" outlineLevel="1"/>
    <col min="26" max="29" width="8.109375" style="172" customWidth="1" outlineLevel="1"/>
    <col min="30" max="16384" width="2.44140625" style="172"/>
  </cols>
  <sheetData>
    <row r="1" spans="1:24" ht="13.2">
      <c r="A1" s="171"/>
      <c r="K1" s="173"/>
      <c r="L1" s="174"/>
      <c r="P1" s="172"/>
      <c r="R1" s="172"/>
      <c r="S1" s="172"/>
    </row>
    <row r="2" spans="1:24" ht="16.2">
      <c r="A2" s="175" t="s">
        <v>14</v>
      </c>
      <c r="H2" s="176" t="s">
        <v>161</v>
      </c>
      <c r="K2" s="173"/>
      <c r="L2" s="174"/>
      <c r="P2" s="172"/>
      <c r="R2" s="172"/>
      <c r="S2" s="172"/>
    </row>
    <row r="3" spans="1:24">
      <c r="K3" s="173"/>
      <c r="R3" s="172"/>
      <c r="S3" s="172"/>
    </row>
    <row r="4" spans="1:24" s="182" customFormat="1" ht="14.4">
      <c r="A4" s="177" t="s">
        <v>79</v>
      </c>
      <c r="B4" s="178"/>
      <c r="C4" s="179" t="s">
        <v>338</v>
      </c>
      <c r="D4" s="180"/>
      <c r="E4" s="180"/>
      <c r="F4" s="180"/>
      <c r="G4" s="180"/>
      <c r="H4" s="181"/>
      <c r="Q4" s="172"/>
      <c r="R4" s="172"/>
      <c r="S4" s="172"/>
    </row>
    <row r="5" spans="1:24" s="182" customFormat="1" ht="14.4">
      <c r="A5" s="177" t="s">
        <v>84</v>
      </c>
      <c r="B5" s="178"/>
      <c r="C5" s="183"/>
      <c r="D5" s="177" t="s">
        <v>110</v>
      </c>
      <c r="E5" s="178"/>
      <c r="F5" s="178"/>
      <c r="G5" s="184"/>
      <c r="H5" s="185" t="s">
        <v>36</v>
      </c>
      <c r="Q5" s="172"/>
      <c r="R5" s="172"/>
      <c r="S5" s="172"/>
    </row>
    <row r="6" spans="1:24" s="182" customFormat="1" ht="14.4">
      <c r="A6" s="177" t="s">
        <v>105</v>
      </c>
      <c r="B6" s="178"/>
      <c r="C6" s="185" t="s">
        <v>339</v>
      </c>
      <c r="D6" s="177" t="s">
        <v>111</v>
      </c>
      <c r="E6" s="178"/>
      <c r="F6" s="178"/>
      <c r="G6" s="184"/>
      <c r="H6" s="183"/>
      <c r="I6" s="172"/>
      <c r="L6" s="403" t="s">
        <v>281</v>
      </c>
      <c r="M6" s="404"/>
      <c r="N6" s="186" t="s">
        <v>331</v>
      </c>
      <c r="Q6" s="172"/>
      <c r="R6" s="172"/>
      <c r="S6" s="172"/>
    </row>
    <row r="7" spans="1:24" s="182" customFormat="1" ht="14.4">
      <c r="A7" s="187"/>
      <c r="D7" s="188"/>
      <c r="E7" s="188"/>
      <c r="F7" s="188"/>
      <c r="G7" s="188"/>
      <c r="H7" s="188"/>
      <c r="Q7" s="172"/>
      <c r="R7" s="172"/>
      <c r="S7" s="172"/>
    </row>
    <row r="8" spans="1:24" s="190" customFormat="1">
      <c r="A8" s="172" t="s">
        <v>157</v>
      </c>
      <c r="B8" s="172"/>
      <c r="C8" s="172"/>
      <c r="D8" s="172"/>
      <c r="E8" s="172"/>
      <c r="F8" s="172"/>
      <c r="G8" s="172"/>
      <c r="H8" s="172"/>
      <c r="I8" s="189"/>
      <c r="L8" s="172" t="s">
        <v>259</v>
      </c>
      <c r="M8" s="176"/>
      <c r="N8" s="172"/>
      <c r="Q8" s="172"/>
      <c r="R8" s="172"/>
      <c r="S8" s="172"/>
      <c r="V8" s="172" t="s">
        <v>291</v>
      </c>
      <c r="W8" s="176"/>
      <c r="X8" s="172"/>
    </row>
    <row r="9" spans="1:24" ht="11.25" customHeight="1">
      <c r="A9" s="191" t="s">
        <v>71</v>
      </c>
      <c r="B9" s="177" t="s">
        <v>72</v>
      </c>
      <c r="C9" s="178"/>
      <c r="D9" s="192"/>
      <c r="E9" s="192"/>
      <c r="F9" s="192"/>
      <c r="G9" s="192"/>
      <c r="H9" s="192"/>
      <c r="I9" s="193"/>
      <c r="J9" s="189"/>
      <c r="L9" s="194"/>
      <c r="M9" s="178"/>
      <c r="N9" s="195" t="s">
        <v>57</v>
      </c>
      <c r="R9" s="172"/>
      <c r="S9" s="172"/>
      <c r="V9" s="196"/>
      <c r="W9" s="178"/>
      <c r="X9" s="195" t="s">
        <v>57</v>
      </c>
    </row>
    <row r="10" spans="1:24" ht="11.25" customHeight="1">
      <c r="A10" s="197">
        <v>1</v>
      </c>
      <c r="B10" s="198" t="s">
        <v>73</v>
      </c>
      <c r="C10" s="199"/>
      <c r="D10" s="199"/>
      <c r="E10" s="199"/>
      <c r="F10" s="199"/>
      <c r="G10" s="199"/>
      <c r="H10" s="199"/>
      <c r="I10" s="200"/>
      <c r="J10" s="189"/>
      <c r="L10" s="201" t="s">
        <v>46</v>
      </c>
      <c r="M10" s="202"/>
      <c r="N10" s="364">
        <f>COUNTA($I43:$I134)</f>
        <v>76</v>
      </c>
      <c r="R10" s="172"/>
      <c r="S10" s="172"/>
      <c r="V10" s="201" t="s">
        <v>292</v>
      </c>
      <c r="W10" s="202"/>
      <c r="X10" s="364">
        <f>COUNTA($V43:$V134)</f>
        <v>0</v>
      </c>
    </row>
    <row r="11" spans="1:24" ht="11.25" customHeight="1">
      <c r="A11" s="203">
        <v>2</v>
      </c>
      <c r="B11" s="204" t="s">
        <v>74</v>
      </c>
      <c r="C11" s="205"/>
      <c r="D11" s="205"/>
      <c r="E11" s="205"/>
      <c r="F11" s="205"/>
      <c r="G11" s="205"/>
      <c r="H11" s="205"/>
      <c r="I11" s="206"/>
      <c r="J11" s="189"/>
      <c r="L11" s="201"/>
      <c r="M11" s="207" t="s">
        <v>16</v>
      </c>
      <c r="N11" s="365">
        <f>SUM((COUNTIF($L43:$L134,"対応済み")),COUNTIF($L43:$L134,"対応無し"))</f>
        <v>0</v>
      </c>
      <c r="R11" s="172"/>
      <c r="S11" s="172"/>
      <c r="V11" s="201"/>
      <c r="W11" s="207" t="s">
        <v>293</v>
      </c>
      <c r="X11" s="365">
        <f>SUM((COUNTIF($V43:$V134,"否")))</f>
        <v>0</v>
      </c>
    </row>
    <row r="12" spans="1:24" ht="11.25" customHeight="1">
      <c r="A12" s="203">
        <v>3</v>
      </c>
      <c r="B12" s="204" t="s">
        <v>75</v>
      </c>
      <c r="C12" s="205"/>
      <c r="D12" s="205"/>
      <c r="E12" s="205"/>
      <c r="F12" s="205"/>
      <c r="G12" s="205"/>
      <c r="H12" s="205"/>
      <c r="I12" s="206"/>
      <c r="J12" s="189"/>
      <c r="L12" s="201"/>
      <c r="M12" s="208" t="s">
        <v>83</v>
      </c>
      <c r="N12" s="365">
        <f>COUNTIF($L43:$L134,"保留")</f>
        <v>0</v>
      </c>
      <c r="R12" s="172"/>
      <c r="S12" s="172"/>
      <c r="V12" s="201"/>
      <c r="W12" s="208" t="s">
        <v>294</v>
      </c>
      <c r="X12" s="365">
        <f>COUNTA($W43:$W134)</f>
        <v>0</v>
      </c>
    </row>
    <row r="13" spans="1:24" ht="11.25" customHeight="1">
      <c r="A13" s="203">
        <v>4</v>
      </c>
      <c r="B13" s="204" t="s">
        <v>76</v>
      </c>
      <c r="C13" s="205"/>
      <c r="D13" s="205"/>
      <c r="E13" s="205"/>
      <c r="F13" s="205"/>
      <c r="G13" s="205"/>
      <c r="H13" s="205"/>
      <c r="I13" s="209"/>
      <c r="J13" s="189"/>
      <c r="L13" s="201"/>
      <c r="M13" s="207" t="s">
        <v>70</v>
      </c>
      <c r="N13" s="365">
        <f>SUMPRODUCT((I43:I134&lt;&gt;"")*(L43:L134="保留")*(P43:P134=""))+SUMPRODUCT((I43:I134&lt;&gt;"")*(L43:L134=""))</f>
        <v>76</v>
      </c>
      <c r="P13" s="172"/>
      <c r="R13" s="172"/>
      <c r="S13" s="172"/>
      <c r="V13" s="201"/>
      <c r="W13" s="207" t="s">
        <v>284</v>
      </c>
      <c r="X13" s="365">
        <f>SUM((COUNTIF($V43:$V134,"要")))</f>
        <v>0</v>
      </c>
    </row>
    <row r="14" spans="1:24" ht="11.25" customHeight="1">
      <c r="A14" s="203">
        <v>5</v>
      </c>
      <c r="B14" s="204"/>
      <c r="C14" s="205"/>
      <c r="D14" s="205"/>
      <c r="E14" s="205"/>
      <c r="F14" s="205"/>
      <c r="G14" s="205"/>
      <c r="H14" s="205"/>
      <c r="I14" s="209"/>
      <c r="J14" s="210"/>
      <c r="L14" s="211"/>
      <c r="M14" s="212" t="s">
        <v>69</v>
      </c>
      <c r="N14" s="366">
        <f>N10-(COUNTA($Q43:$Q134))</f>
        <v>76</v>
      </c>
      <c r="O14" s="173"/>
      <c r="P14" s="172"/>
      <c r="R14" s="172"/>
      <c r="S14" s="172"/>
      <c r="V14" s="201"/>
      <c r="W14" s="213" t="s">
        <v>295</v>
      </c>
      <c r="X14" s="369">
        <f>COUNTA($Y43:$Y134)</f>
        <v>0</v>
      </c>
    </row>
    <row r="15" spans="1:24" ht="13.2">
      <c r="A15" s="203">
        <v>6</v>
      </c>
      <c r="B15" s="204"/>
      <c r="C15" s="205"/>
      <c r="D15" s="205"/>
      <c r="E15" s="205"/>
      <c r="F15" s="205"/>
      <c r="G15" s="205"/>
      <c r="H15" s="205"/>
      <c r="I15" s="209"/>
      <c r="L15" s="211" t="s">
        <v>93</v>
      </c>
      <c r="M15" s="214"/>
      <c r="N15" s="367">
        <f>IF(D38+N38&lt;&gt;0, ROUND(D38/(D38+N38),3), "-")</f>
        <v>1</v>
      </c>
      <c r="P15" s="172"/>
      <c r="Q15" s="215"/>
      <c r="R15" s="173"/>
      <c r="S15" s="172"/>
      <c r="V15" s="203" t="s">
        <v>297</v>
      </c>
      <c r="W15" s="216"/>
      <c r="X15" s="369">
        <f>X10-COUNTA($Z43:$Z134)</f>
        <v>0</v>
      </c>
    </row>
    <row r="16" spans="1:24" ht="13.5" customHeight="1">
      <c r="A16" s="217">
        <v>7</v>
      </c>
      <c r="B16" s="218"/>
      <c r="C16" s="219"/>
      <c r="D16" s="219"/>
      <c r="E16" s="219"/>
      <c r="F16" s="219"/>
      <c r="G16" s="219"/>
      <c r="H16" s="219"/>
      <c r="I16" s="220"/>
      <c r="L16" s="221" t="s">
        <v>274</v>
      </c>
      <c r="M16" s="222"/>
      <c r="N16" s="368" t="str">
        <f>レビューデータサマリ!F15</f>
        <v>OPEN</v>
      </c>
      <c r="P16" s="172"/>
      <c r="Q16" s="215"/>
      <c r="R16" s="173"/>
      <c r="S16" s="172"/>
      <c r="V16" s="217" t="s">
        <v>298</v>
      </c>
      <c r="W16" s="223"/>
      <c r="X16" s="369">
        <f>X10-COUNTA($AB43:$AB134)</f>
        <v>0</v>
      </c>
    </row>
    <row r="17" spans="1:24">
      <c r="L17" s="174"/>
      <c r="P17" s="172"/>
      <c r="V17" s="221" t="s">
        <v>296</v>
      </c>
      <c r="W17" s="222"/>
      <c r="X17" s="370" t="str">
        <f>IF(AND(X11=X12,X13=X14,X10=N10,X16=0,X15=0),"CLOSE","OPEN")</f>
        <v>OPEN</v>
      </c>
    </row>
    <row r="18" spans="1:24">
      <c r="A18" s="172" t="s">
        <v>55</v>
      </c>
      <c r="L18" s="172" t="s">
        <v>78</v>
      </c>
      <c r="P18" s="172"/>
      <c r="R18" s="172"/>
    </row>
    <row r="19" spans="1:24" ht="13.5" customHeight="1" outlineLevel="1">
      <c r="A19" s="191" t="s">
        <v>77</v>
      </c>
      <c r="B19" s="191" t="s">
        <v>127</v>
      </c>
      <c r="C19" s="192"/>
      <c r="D19" s="192"/>
      <c r="E19" s="192"/>
      <c r="F19" s="192"/>
      <c r="G19" s="192"/>
      <c r="H19" s="192"/>
      <c r="I19" s="192"/>
      <c r="J19" s="224"/>
      <c r="L19" s="177" t="s">
        <v>107</v>
      </c>
      <c r="M19" s="178"/>
      <c r="N19" s="184"/>
      <c r="P19" s="172"/>
      <c r="R19" s="172"/>
    </row>
    <row r="20" spans="1:24" ht="13.5" customHeight="1" outlineLevel="1">
      <c r="A20" s="197">
        <v>1</v>
      </c>
      <c r="B20" s="198"/>
      <c r="C20" s="199"/>
      <c r="D20" s="199"/>
      <c r="E20" s="199"/>
      <c r="F20" s="199"/>
      <c r="G20" s="199"/>
      <c r="H20" s="199"/>
      <c r="I20" s="199"/>
      <c r="J20" s="224"/>
      <c r="L20" s="198"/>
      <c r="M20" s="199"/>
      <c r="N20" s="225"/>
      <c r="P20" s="172"/>
      <c r="R20" s="172"/>
    </row>
    <row r="21" spans="1:24" ht="13.5" customHeight="1" outlineLevel="1">
      <c r="A21" s="203">
        <v>2</v>
      </c>
      <c r="B21" s="204"/>
      <c r="C21" s="205"/>
      <c r="D21" s="205"/>
      <c r="E21" s="205"/>
      <c r="F21" s="205"/>
      <c r="G21" s="205"/>
      <c r="H21" s="205"/>
      <c r="I21" s="205"/>
      <c r="J21" s="224"/>
      <c r="L21" s="204"/>
      <c r="M21" s="205"/>
      <c r="N21" s="226"/>
      <c r="P21" s="172"/>
      <c r="R21" s="172"/>
    </row>
    <row r="22" spans="1:24" ht="13.5" customHeight="1" outlineLevel="1">
      <c r="A22" s="217">
        <v>3</v>
      </c>
      <c r="B22" s="218"/>
      <c r="C22" s="219"/>
      <c r="D22" s="219"/>
      <c r="E22" s="219"/>
      <c r="F22" s="219"/>
      <c r="G22" s="219"/>
      <c r="H22" s="219"/>
      <c r="I22" s="219"/>
      <c r="J22" s="224"/>
      <c r="L22" s="218"/>
      <c r="M22" s="219"/>
      <c r="N22" s="220"/>
      <c r="P22" s="172"/>
      <c r="R22" s="172"/>
    </row>
    <row r="23" spans="1:24" outlineLevel="1">
      <c r="L23" s="174"/>
      <c r="P23" s="172"/>
      <c r="R23" s="172"/>
      <c r="S23" s="172"/>
    </row>
    <row r="24" spans="1:24">
      <c r="A24" s="172" t="s">
        <v>17</v>
      </c>
      <c r="L24" s="172" t="s">
        <v>82</v>
      </c>
      <c r="O24" s="173"/>
      <c r="P24" s="172"/>
      <c r="Q24" s="215"/>
      <c r="R24" s="173"/>
      <c r="S24" s="172"/>
    </row>
    <row r="25" spans="1:24" ht="13.5" customHeight="1">
      <c r="A25" s="391" t="s">
        <v>80</v>
      </c>
      <c r="B25" s="392"/>
      <c r="C25" s="377">
        <v>46296</v>
      </c>
      <c r="D25" s="400" t="s">
        <v>81</v>
      </c>
      <c r="E25" s="401"/>
      <c r="F25" s="401"/>
      <c r="G25" s="402"/>
      <c r="H25" s="377">
        <v>46296</v>
      </c>
      <c r="I25" s="172" t="s">
        <v>251</v>
      </c>
      <c r="J25" s="173"/>
      <c r="L25" s="227" t="s">
        <v>135</v>
      </c>
      <c r="M25" s="183"/>
      <c r="N25" s="173"/>
      <c r="O25" s="173"/>
      <c r="P25" s="228"/>
      <c r="Q25" s="390"/>
      <c r="R25" s="390"/>
      <c r="S25" s="172"/>
    </row>
    <row r="26" spans="1:24" ht="21.6" outlineLevel="1">
      <c r="A26" s="229" t="s">
        <v>66</v>
      </c>
      <c r="B26" s="388" t="s">
        <v>18</v>
      </c>
      <c r="C26" s="389"/>
      <c r="D26" s="388" t="s">
        <v>256</v>
      </c>
      <c r="E26" s="396"/>
      <c r="F26" s="396"/>
      <c r="G26" s="389"/>
      <c r="H26" s="229" t="s">
        <v>229</v>
      </c>
      <c r="I26" s="230" t="s">
        <v>228</v>
      </c>
      <c r="L26" s="191" t="s">
        <v>77</v>
      </c>
      <c r="M26" s="191" t="s">
        <v>103</v>
      </c>
      <c r="N26" s="231" t="s">
        <v>257</v>
      </c>
      <c r="O26" s="232"/>
      <c r="P26" s="232"/>
      <c r="Q26" s="232"/>
      <c r="R26" s="232"/>
      <c r="S26" s="172"/>
    </row>
    <row r="27" spans="1:24" ht="1.5" customHeight="1" outlineLevel="1">
      <c r="A27" s="233"/>
      <c r="B27" s="234"/>
      <c r="C27" s="235"/>
      <c r="D27" s="397"/>
      <c r="E27" s="398"/>
      <c r="F27" s="398"/>
      <c r="G27" s="399"/>
      <c r="H27" s="236"/>
      <c r="I27" s="237"/>
      <c r="L27" s="211"/>
      <c r="M27" s="211"/>
      <c r="N27" s="233"/>
      <c r="P27" s="172"/>
      <c r="R27" s="172"/>
      <c r="S27" s="172"/>
    </row>
    <row r="28" spans="1:24" ht="13.5" customHeight="1" outlineLevel="1">
      <c r="A28" s="238">
        <v>1</v>
      </c>
      <c r="B28" s="239" t="s">
        <v>340</v>
      </c>
      <c r="C28" s="240"/>
      <c r="D28" s="393">
        <v>150</v>
      </c>
      <c r="E28" s="394"/>
      <c r="F28" s="394"/>
      <c r="G28" s="395"/>
      <c r="H28" s="241"/>
      <c r="I28" s="242"/>
      <c r="L28" s="243">
        <v>1</v>
      </c>
      <c r="M28" s="198" t="s">
        <v>343</v>
      </c>
      <c r="N28" s="244"/>
      <c r="O28" s="245"/>
      <c r="P28" s="172"/>
      <c r="Q28" s="246"/>
      <c r="R28" s="247"/>
      <c r="S28" s="172"/>
    </row>
    <row r="29" spans="1:24" ht="13.5" customHeight="1" outlineLevel="1">
      <c r="A29" s="203">
        <v>2</v>
      </c>
      <c r="B29" s="204"/>
      <c r="C29" s="206"/>
      <c r="D29" s="385"/>
      <c r="E29" s="386"/>
      <c r="F29" s="386"/>
      <c r="G29" s="387"/>
      <c r="H29" s="248"/>
      <c r="I29" s="249"/>
      <c r="L29" s="250">
        <v>2</v>
      </c>
      <c r="M29" s="204"/>
      <c r="N29" s="244"/>
      <c r="O29" s="245"/>
      <c r="P29" s="172"/>
      <c r="Q29" s="246"/>
      <c r="R29" s="247"/>
      <c r="S29" s="172"/>
    </row>
    <row r="30" spans="1:24" ht="13.5" customHeight="1" outlineLevel="1">
      <c r="A30" s="203">
        <v>3</v>
      </c>
      <c r="B30" s="204"/>
      <c r="C30" s="206"/>
      <c r="D30" s="385"/>
      <c r="E30" s="386"/>
      <c r="F30" s="386"/>
      <c r="G30" s="387"/>
      <c r="H30" s="248"/>
      <c r="I30" s="249"/>
      <c r="L30" s="250">
        <v>3</v>
      </c>
      <c r="M30" s="204"/>
      <c r="N30" s="244"/>
      <c r="O30" s="245"/>
      <c r="P30" s="172"/>
      <c r="Q30" s="246"/>
      <c r="R30" s="247"/>
      <c r="S30" s="172"/>
    </row>
    <row r="31" spans="1:24" ht="13.5" customHeight="1" outlineLevel="1">
      <c r="A31" s="203">
        <v>4</v>
      </c>
      <c r="B31" s="204"/>
      <c r="C31" s="206"/>
      <c r="D31" s="385"/>
      <c r="E31" s="386"/>
      <c r="F31" s="386"/>
      <c r="G31" s="387"/>
      <c r="H31" s="248"/>
      <c r="I31" s="249"/>
      <c r="L31" s="250">
        <v>4</v>
      </c>
      <c r="M31" s="204"/>
      <c r="N31" s="244"/>
      <c r="O31" s="245"/>
      <c r="P31" s="172"/>
      <c r="Q31" s="246"/>
      <c r="R31" s="247"/>
      <c r="S31" s="172"/>
    </row>
    <row r="32" spans="1:24" ht="13.5" customHeight="1" outlineLevel="1">
      <c r="A32" s="203">
        <v>5</v>
      </c>
      <c r="B32" s="204"/>
      <c r="C32" s="206"/>
      <c r="D32" s="385"/>
      <c r="E32" s="386"/>
      <c r="F32" s="386"/>
      <c r="G32" s="387"/>
      <c r="H32" s="248"/>
      <c r="I32" s="249"/>
      <c r="L32" s="250">
        <v>5</v>
      </c>
      <c r="M32" s="204"/>
      <c r="N32" s="244"/>
      <c r="O32" s="245"/>
      <c r="P32" s="172"/>
      <c r="Q32" s="246"/>
      <c r="R32" s="247"/>
      <c r="S32" s="172"/>
    </row>
    <row r="33" spans="1:29" ht="14.25" customHeight="1" outlineLevel="1">
      <c r="A33" s="203">
        <v>6</v>
      </c>
      <c r="B33" s="204"/>
      <c r="C33" s="206"/>
      <c r="D33" s="385"/>
      <c r="E33" s="386"/>
      <c r="F33" s="386"/>
      <c r="G33" s="387"/>
      <c r="H33" s="248"/>
      <c r="I33" s="249"/>
      <c r="L33" s="250">
        <v>6</v>
      </c>
      <c r="M33" s="204"/>
      <c r="N33" s="244"/>
      <c r="O33" s="245"/>
      <c r="P33" s="172"/>
      <c r="Q33" s="246"/>
      <c r="R33" s="247"/>
      <c r="S33" s="172"/>
    </row>
    <row r="34" spans="1:29" ht="14.25" customHeight="1" outlineLevel="1">
      <c r="A34" s="203">
        <v>7</v>
      </c>
      <c r="B34" s="204"/>
      <c r="C34" s="206"/>
      <c r="D34" s="385"/>
      <c r="E34" s="386"/>
      <c r="F34" s="386"/>
      <c r="G34" s="387"/>
      <c r="H34" s="248"/>
      <c r="I34" s="249"/>
      <c r="L34" s="250">
        <v>7</v>
      </c>
      <c r="M34" s="204"/>
      <c r="N34" s="244"/>
      <c r="O34" s="245"/>
      <c r="P34" s="172"/>
      <c r="Q34" s="246"/>
      <c r="R34" s="247"/>
      <c r="S34" s="172"/>
    </row>
    <row r="35" spans="1:29" ht="13.5" customHeight="1" outlineLevel="1">
      <c r="A35" s="203">
        <v>8</v>
      </c>
      <c r="B35" s="204"/>
      <c r="C35" s="206"/>
      <c r="D35" s="385"/>
      <c r="E35" s="386"/>
      <c r="F35" s="386"/>
      <c r="G35" s="387"/>
      <c r="H35" s="248"/>
      <c r="I35" s="249"/>
      <c r="L35" s="250">
        <v>8</v>
      </c>
      <c r="M35" s="204"/>
      <c r="N35" s="244"/>
      <c r="O35" s="245"/>
      <c r="P35" s="172"/>
      <c r="Q35" s="246"/>
      <c r="R35" s="247"/>
      <c r="S35" s="172"/>
    </row>
    <row r="36" spans="1:29" ht="13.5" customHeight="1" outlineLevel="1">
      <c r="A36" s="203">
        <v>9</v>
      </c>
      <c r="B36" s="204"/>
      <c r="C36" s="206"/>
      <c r="D36" s="385"/>
      <c r="E36" s="386"/>
      <c r="F36" s="386"/>
      <c r="G36" s="387"/>
      <c r="H36" s="248"/>
      <c r="I36" s="249"/>
      <c r="L36" s="250">
        <v>9</v>
      </c>
      <c r="M36" s="204"/>
      <c r="N36" s="244"/>
      <c r="O36" s="245"/>
      <c r="P36" s="172"/>
      <c r="Q36" s="246"/>
      <c r="R36" s="247"/>
      <c r="S36" s="172"/>
    </row>
    <row r="37" spans="1:29" ht="13.5" customHeight="1" outlineLevel="1">
      <c r="A37" s="203">
        <v>10</v>
      </c>
      <c r="B37" s="204"/>
      <c r="C37" s="206"/>
      <c r="D37" s="382"/>
      <c r="E37" s="383"/>
      <c r="F37" s="383"/>
      <c r="G37" s="384"/>
      <c r="H37" s="251"/>
      <c r="I37" s="252"/>
      <c r="L37" s="253">
        <v>10</v>
      </c>
      <c r="M37" s="254"/>
      <c r="N37" s="244"/>
      <c r="O37" s="245"/>
      <c r="P37" s="172"/>
      <c r="Q37" s="246"/>
      <c r="R37" s="247"/>
      <c r="S37" s="172"/>
    </row>
    <row r="38" spans="1:29" outlineLevel="1">
      <c r="A38" s="177" t="s">
        <v>106</v>
      </c>
      <c r="B38" s="255"/>
      <c r="C38" s="371">
        <f>COUNTA(B27:B37)</f>
        <v>1</v>
      </c>
      <c r="D38" s="379">
        <f>SUM(D28:D37)/60</f>
        <v>2.5</v>
      </c>
      <c r="E38" s="380"/>
      <c r="F38" s="380"/>
      <c r="G38" s="381"/>
      <c r="H38" s="177"/>
      <c r="I38" s="256"/>
      <c r="L38" s="227"/>
      <c r="M38" s="227"/>
      <c r="N38" s="372">
        <f>SUM(N27:N37)</f>
        <v>0</v>
      </c>
      <c r="O38" s="245"/>
      <c r="P38" s="257"/>
      <c r="R38" s="258"/>
      <c r="S38" s="172"/>
    </row>
    <row r="39" spans="1:29">
      <c r="L39" s="259"/>
      <c r="M39" s="174"/>
      <c r="P39" s="259"/>
      <c r="Q39" s="174"/>
      <c r="R39" s="260"/>
      <c r="S39" s="259"/>
    </row>
    <row r="40" spans="1:29">
      <c r="A40" s="172" t="s">
        <v>19</v>
      </c>
      <c r="J40" s="259"/>
      <c r="K40" s="174"/>
      <c r="L40" s="172"/>
      <c r="M40" s="174"/>
      <c r="N40" s="259"/>
      <c r="O40" s="174"/>
      <c r="P40" s="260"/>
      <c r="Q40" s="259"/>
      <c r="R40" s="172"/>
      <c r="S40" s="172"/>
      <c r="V40" s="172" t="s">
        <v>322</v>
      </c>
    </row>
    <row r="41" spans="1:29" ht="13.5" customHeight="1">
      <c r="A41" s="261"/>
      <c r="B41" s="243" t="s">
        <v>20</v>
      </c>
      <c r="C41" s="262"/>
      <c r="D41" s="263"/>
      <c r="E41" s="263"/>
      <c r="F41" s="263"/>
      <c r="G41" s="263"/>
      <c r="H41" s="263"/>
      <c r="I41" s="263"/>
      <c r="J41" s="264"/>
      <c r="K41" s="265"/>
      <c r="L41" s="266" t="s">
        <v>21</v>
      </c>
      <c r="M41" s="267"/>
      <c r="N41" s="268"/>
      <c r="O41" s="267"/>
      <c r="P41" s="269"/>
      <c r="Q41" s="270" t="s">
        <v>22</v>
      </c>
      <c r="R41" s="271"/>
      <c r="S41" s="272" t="s">
        <v>226</v>
      </c>
      <c r="T41" s="273"/>
      <c r="V41" s="405" t="s">
        <v>282</v>
      </c>
      <c r="W41" s="274" t="s">
        <v>283</v>
      </c>
      <c r="X41" s="274" t="s">
        <v>284</v>
      </c>
      <c r="Y41" s="275"/>
      <c r="Z41" s="409" t="s">
        <v>314</v>
      </c>
      <c r="AA41" s="411" t="s">
        <v>315</v>
      </c>
      <c r="AB41" s="407" t="s">
        <v>285</v>
      </c>
      <c r="AC41" s="408"/>
    </row>
    <row r="42" spans="1:29" s="174" customFormat="1" ht="21.6" customHeight="1">
      <c r="A42" s="276" t="s">
        <v>67</v>
      </c>
      <c r="B42" s="373" t="str">
        <f>使用方法!$N$46</f>
        <v>指摘分類</v>
      </c>
      <c r="C42" s="277" t="s">
        <v>108</v>
      </c>
      <c r="D42" s="278" t="s">
        <v>258</v>
      </c>
      <c r="E42" s="279" t="s">
        <v>270</v>
      </c>
      <c r="F42" s="279" t="s">
        <v>271</v>
      </c>
      <c r="G42" s="279" t="s">
        <v>272</v>
      </c>
      <c r="H42" s="279" t="s">
        <v>273</v>
      </c>
      <c r="I42" s="279" t="s">
        <v>109</v>
      </c>
      <c r="J42" s="280" t="s">
        <v>85</v>
      </c>
      <c r="K42" s="281" t="s">
        <v>86</v>
      </c>
      <c r="L42" s="282" t="s">
        <v>87</v>
      </c>
      <c r="M42" s="283" t="s">
        <v>88</v>
      </c>
      <c r="N42" s="284" t="s">
        <v>89</v>
      </c>
      <c r="O42" s="285" t="s">
        <v>90</v>
      </c>
      <c r="P42" s="286" t="s">
        <v>278</v>
      </c>
      <c r="Q42" s="287" t="s">
        <v>91</v>
      </c>
      <c r="R42" s="288" t="s">
        <v>92</v>
      </c>
      <c r="S42" s="289" t="s">
        <v>238</v>
      </c>
      <c r="T42" s="290" t="s">
        <v>239</v>
      </c>
      <c r="V42" s="406"/>
      <c r="W42" s="291" t="s">
        <v>286</v>
      </c>
      <c r="X42" s="291" t="s">
        <v>287</v>
      </c>
      <c r="Y42" s="291" t="s">
        <v>288</v>
      </c>
      <c r="Z42" s="410"/>
      <c r="AA42" s="412"/>
      <c r="AB42" s="292" t="s">
        <v>289</v>
      </c>
      <c r="AC42" s="293" t="s">
        <v>290</v>
      </c>
    </row>
    <row r="43" spans="1:29" ht="32.4">
      <c r="A43" s="374">
        <f t="shared" ref="A43:A132" si="0">ROW()-ROW($A$42)</f>
        <v>1</v>
      </c>
      <c r="B43" s="294" t="s">
        <v>264</v>
      </c>
      <c r="C43" s="295" t="s">
        <v>94</v>
      </c>
      <c r="D43" s="296" t="s">
        <v>343</v>
      </c>
      <c r="E43" s="296"/>
      <c r="F43" s="296"/>
      <c r="G43" s="296"/>
      <c r="H43" s="296" t="s">
        <v>344</v>
      </c>
      <c r="I43" s="296" t="s">
        <v>341</v>
      </c>
      <c r="J43" s="297">
        <v>46296</v>
      </c>
      <c r="K43" s="378" t="s">
        <v>340</v>
      </c>
      <c r="L43" s="299"/>
      <c r="M43" s="296"/>
      <c r="N43" s="300"/>
      <c r="O43" s="301"/>
      <c r="P43" s="302"/>
      <c r="Q43" s="303"/>
      <c r="R43" s="298"/>
      <c r="S43" s="304"/>
      <c r="T43" s="305"/>
      <c r="V43" s="306"/>
      <c r="W43" s="307"/>
      <c r="X43" s="307"/>
      <c r="Y43" s="307"/>
      <c r="Z43" s="308"/>
      <c r="AA43" s="309"/>
      <c r="AB43" s="310"/>
      <c r="AC43" s="311"/>
    </row>
    <row r="44" spans="1:29" ht="32.4">
      <c r="A44" s="375">
        <f t="shared" si="0"/>
        <v>2</v>
      </c>
      <c r="B44" s="312" t="s">
        <v>264</v>
      </c>
      <c r="C44" s="313" t="s">
        <v>342</v>
      </c>
      <c r="D44" s="314" t="s">
        <v>343</v>
      </c>
      <c r="E44" s="314"/>
      <c r="F44" s="314"/>
      <c r="G44" s="314"/>
      <c r="H44" s="314" t="s">
        <v>344</v>
      </c>
      <c r="I44" s="314" t="s">
        <v>366</v>
      </c>
      <c r="J44" s="315">
        <v>46296</v>
      </c>
      <c r="K44" s="316" t="s">
        <v>340</v>
      </c>
      <c r="L44" s="317"/>
      <c r="M44" s="314"/>
      <c r="N44" s="318"/>
      <c r="O44" s="319"/>
      <c r="P44" s="320"/>
      <c r="Q44" s="321"/>
      <c r="R44" s="316"/>
      <c r="S44" s="322"/>
      <c r="T44" s="323"/>
      <c r="V44" s="324"/>
      <c r="W44" s="314"/>
      <c r="X44" s="314"/>
      <c r="Y44" s="314"/>
      <c r="Z44" s="325"/>
      <c r="AA44" s="326"/>
      <c r="AB44" s="327"/>
      <c r="AC44" s="226"/>
    </row>
    <row r="45" spans="1:29" ht="32.4">
      <c r="A45" s="375">
        <f t="shared" si="0"/>
        <v>3</v>
      </c>
      <c r="B45" s="312" t="s">
        <v>264</v>
      </c>
      <c r="C45" s="313" t="s">
        <v>342</v>
      </c>
      <c r="D45" s="314" t="s">
        <v>343</v>
      </c>
      <c r="E45" s="314"/>
      <c r="F45" s="314"/>
      <c r="G45" s="314"/>
      <c r="H45" s="314" t="s">
        <v>345</v>
      </c>
      <c r="I45" s="314" t="s">
        <v>346</v>
      </c>
      <c r="J45" s="315">
        <v>46296</v>
      </c>
      <c r="K45" s="316" t="s">
        <v>340</v>
      </c>
      <c r="L45" s="317"/>
      <c r="M45" s="314"/>
      <c r="N45" s="318"/>
      <c r="O45" s="319"/>
      <c r="P45" s="320"/>
      <c r="Q45" s="321"/>
      <c r="R45" s="316"/>
      <c r="S45" s="322"/>
      <c r="T45" s="326"/>
      <c r="V45" s="324"/>
      <c r="W45" s="314"/>
      <c r="X45" s="314"/>
      <c r="Y45" s="314"/>
      <c r="Z45" s="325"/>
      <c r="AA45" s="326"/>
      <c r="AB45" s="327"/>
      <c r="AC45" s="226"/>
    </row>
    <row r="46" spans="1:29" ht="32.4">
      <c r="A46" s="376">
        <f t="shared" si="0"/>
        <v>4</v>
      </c>
      <c r="B46" s="328" t="s">
        <v>263</v>
      </c>
      <c r="C46" s="329" t="s">
        <v>100</v>
      </c>
      <c r="D46" s="330" t="s">
        <v>343</v>
      </c>
      <c r="E46" s="330"/>
      <c r="F46" s="330"/>
      <c r="G46" s="330"/>
      <c r="H46" s="330" t="s">
        <v>347</v>
      </c>
      <c r="I46" s="330" t="s">
        <v>348</v>
      </c>
      <c r="J46" s="331">
        <v>46296</v>
      </c>
      <c r="K46" s="316" t="s">
        <v>340</v>
      </c>
      <c r="L46" s="332"/>
      <c r="M46" s="330"/>
      <c r="N46" s="318"/>
      <c r="O46" s="333"/>
      <c r="P46" s="334"/>
      <c r="Q46" s="335"/>
      <c r="R46" s="316"/>
      <c r="S46" s="322"/>
      <c r="T46" s="323"/>
      <c r="V46" s="324"/>
      <c r="W46" s="314"/>
      <c r="X46" s="314"/>
      <c r="Y46" s="314"/>
      <c r="Z46" s="325"/>
      <c r="AA46" s="326"/>
      <c r="AB46" s="327"/>
      <c r="AC46" s="226"/>
    </row>
    <row r="47" spans="1:29" ht="32.4">
      <c r="A47" s="375">
        <f t="shared" si="0"/>
        <v>5</v>
      </c>
      <c r="B47" s="312" t="s">
        <v>264</v>
      </c>
      <c r="C47" s="313" t="s">
        <v>342</v>
      </c>
      <c r="D47" s="330" t="s">
        <v>343</v>
      </c>
      <c r="E47" s="314">
        <v>1</v>
      </c>
      <c r="F47" s="314">
        <v>1</v>
      </c>
      <c r="G47" s="314"/>
      <c r="H47" s="314" t="s">
        <v>349</v>
      </c>
      <c r="I47" s="314" t="s">
        <v>361</v>
      </c>
      <c r="J47" s="315">
        <v>46296</v>
      </c>
      <c r="K47" s="316" t="s">
        <v>340</v>
      </c>
      <c r="L47" s="317"/>
      <c r="M47" s="314"/>
      <c r="N47" s="318"/>
      <c r="O47" s="319"/>
      <c r="P47" s="320"/>
      <c r="Q47" s="318"/>
      <c r="R47" s="316"/>
      <c r="S47" s="322"/>
      <c r="T47" s="326"/>
      <c r="V47" s="324"/>
      <c r="W47" s="314"/>
      <c r="X47" s="314"/>
      <c r="Y47" s="314"/>
      <c r="Z47" s="325"/>
      <c r="AA47" s="326"/>
      <c r="AB47" s="327"/>
      <c r="AC47" s="226"/>
    </row>
    <row r="48" spans="1:29" ht="32.4">
      <c r="A48" s="375">
        <f t="shared" si="0"/>
        <v>6</v>
      </c>
      <c r="B48" s="312" t="s">
        <v>264</v>
      </c>
      <c r="C48" s="313" t="s">
        <v>342</v>
      </c>
      <c r="D48" s="330" t="s">
        <v>343</v>
      </c>
      <c r="E48" s="314">
        <v>1</v>
      </c>
      <c r="F48" s="314">
        <v>2</v>
      </c>
      <c r="G48" s="314"/>
      <c r="H48" s="314" t="s">
        <v>351</v>
      </c>
      <c r="I48" s="314" t="s">
        <v>350</v>
      </c>
      <c r="J48" s="315">
        <v>46296</v>
      </c>
      <c r="K48" s="316" t="s">
        <v>340</v>
      </c>
      <c r="L48" s="317"/>
      <c r="M48" s="314"/>
      <c r="N48" s="318"/>
      <c r="O48" s="319"/>
      <c r="P48" s="320"/>
      <c r="Q48" s="318"/>
      <c r="R48" s="316"/>
      <c r="S48" s="322"/>
      <c r="T48" s="326"/>
      <c r="V48" s="324"/>
      <c r="W48" s="314"/>
      <c r="X48" s="314"/>
      <c r="Y48" s="314"/>
      <c r="Z48" s="325"/>
      <c r="AA48" s="326"/>
      <c r="AB48" s="327"/>
      <c r="AC48" s="226"/>
    </row>
    <row r="49" spans="1:29" ht="32.4">
      <c r="A49" s="375">
        <f t="shared" si="0"/>
        <v>7</v>
      </c>
      <c r="B49" s="312" t="s">
        <v>263</v>
      </c>
      <c r="C49" s="313" t="s">
        <v>100</v>
      </c>
      <c r="D49" s="330" t="s">
        <v>343</v>
      </c>
      <c r="E49" s="314">
        <v>1</v>
      </c>
      <c r="F49" s="314">
        <v>2</v>
      </c>
      <c r="G49" s="314"/>
      <c r="H49" s="314" t="s">
        <v>352</v>
      </c>
      <c r="I49" s="314" t="s">
        <v>353</v>
      </c>
      <c r="J49" s="315">
        <v>46296</v>
      </c>
      <c r="K49" s="316" t="s">
        <v>340</v>
      </c>
      <c r="L49" s="317"/>
      <c r="M49" s="314"/>
      <c r="N49" s="318"/>
      <c r="O49" s="319"/>
      <c r="P49" s="320"/>
      <c r="Q49" s="318"/>
      <c r="R49" s="316"/>
      <c r="S49" s="322"/>
      <c r="T49" s="326"/>
      <c r="V49" s="324"/>
      <c r="W49" s="314"/>
      <c r="X49" s="314"/>
      <c r="Y49" s="314"/>
      <c r="Z49" s="325"/>
      <c r="AA49" s="326"/>
      <c r="AB49" s="327"/>
      <c r="AC49" s="226"/>
    </row>
    <row r="50" spans="1:29" ht="32.4">
      <c r="A50" s="375">
        <f t="shared" si="0"/>
        <v>8</v>
      </c>
      <c r="B50" s="312" t="s">
        <v>264</v>
      </c>
      <c r="C50" s="313" t="s">
        <v>342</v>
      </c>
      <c r="D50" s="330" t="s">
        <v>343</v>
      </c>
      <c r="E50" s="314">
        <v>1</v>
      </c>
      <c r="F50" s="314">
        <v>2</v>
      </c>
      <c r="G50" s="314"/>
      <c r="H50" s="314" t="s">
        <v>351</v>
      </c>
      <c r="I50" s="314" t="s">
        <v>362</v>
      </c>
      <c r="J50" s="315">
        <v>46296</v>
      </c>
      <c r="K50" s="316" t="s">
        <v>340</v>
      </c>
      <c r="L50" s="317"/>
      <c r="M50" s="314"/>
      <c r="N50" s="315"/>
      <c r="O50" s="319"/>
      <c r="P50" s="320"/>
      <c r="Q50" s="321"/>
      <c r="R50" s="316"/>
      <c r="S50" s="322"/>
      <c r="T50" s="326"/>
      <c r="V50" s="324"/>
      <c r="W50" s="314"/>
      <c r="X50" s="314"/>
      <c r="Y50" s="314"/>
      <c r="Z50" s="325"/>
      <c r="AA50" s="326"/>
      <c r="AB50" s="327"/>
      <c r="AC50" s="226"/>
    </row>
    <row r="51" spans="1:29" ht="32.4">
      <c r="A51" s="375">
        <f t="shared" si="0"/>
        <v>9</v>
      </c>
      <c r="B51" s="312" t="s">
        <v>265</v>
      </c>
      <c r="C51" s="313" t="s">
        <v>100</v>
      </c>
      <c r="D51" s="330" t="s">
        <v>343</v>
      </c>
      <c r="E51" s="314">
        <v>1</v>
      </c>
      <c r="F51" s="314">
        <v>3</v>
      </c>
      <c r="G51" s="314"/>
      <c r="H51" s="314" t="s">
        <v>355</v>
      </c>
      <c r="I51" s="314" t="s">
        <v>354</v>
      </c>
      <c r="J51" s="315">
        <v>46296</v>
      </c>
      <c r="K51" s="316" t="s">
        <v>340</v>
      </c>
      <c r="L51" s="317"/>
      <c r="M51" s="314"/>
      <c r="N51" s="315"/>
      <c r="O51" s="319"/>
      <c r="P51" s="320"/>
      <c r="Q51" s="321"/>
      <c r="R51" s="316"/>
      <c r="S51" s="322"/>
      <c r="T51" s="326"/>
      <c r="V51" s="324"/>
      <c r="W51" s="314"/>
      <c r="X51" s="314"/>
      <c r="Y51" s="314"/>
      <c r="Z51" s="325"/>
      <c r="AA51" s="326"/>
      <c r="AB51" s="327"/>
      <c r="AC51" s="226"/>
    </row>
    <row r="52" spans="1:29" ht="32.4">
      <c r="A52" s="375">
        <f t="shared" si="0"/>
        <v>10</v>
      </c>
      <c r="B52" s="312" t="s">
        <v>265</v>
      </c>
      <c r="C52" s="313" t="s">
        <v>94</v>
      </c>
      <c r="D52" s="314" t="s">
        <v>343</v>
      </c>
      <c r="E52" s="314">
        <v>1</v>
      </c>
      <c r="F52" s="314">
        <v>3</v>
      </c>
      <c r="G52" s="314"/>
      <c r="H52" s="314" t="s">
        <v>355</v>
      </c>
      <c r="I52" s="314" t="s">
        <v>356</v>
      </c>
      <c r="J52" s="315">
        <v>46296</v>
      </c>
      <c r="K52" s="316" t="s">
        <v>340</v>
      </c>
      <c r="L52" s="317"/>
      <c r="M52" s="314"/>
      <c r="N52" s="315"/>
      <c r="O52" s="319"/>
      <c r="P52" s="320"/>
      <c r="Q52" s="321"/>
      <c r="R52" s="316"/>
      <c r="S52" s="322"/>
      <c r="T52" s="326"/>
      <c r="V52" s="324"/>
      <c r="W52" s="314"/>
      <c r="X52" s="314"/>
      <c r="Y52" s="314"/>
      <c r="Z52" s="325"/>
      <c r="AA52" s="326"/>
      <c r="AB52" s="327"/>
      <c r="AC52" s="226"/>
    </row>
    <row r="53" spans="1:29" ht="32.4">
      <c r="A53" s="375">
        <f t="shared" si="0"/>
        <v>11</v>
      </c>
      <c r="B53" s="312" t="s">
        <v>263</v>
      </c>
      <c r="C53" s="313" t="s">
        <v>100</v>
      </c>
      <c r="D53" s="314" t="s">
        <v>343</v>
      </c>
      <c r="E53" s="314">
        <v>1</v>
      </c>
      <c r="F53" s="314">
        <v>3</v>
      </c>
      <c r="G53" s="314"/>
      <c r="H53" s="314" t="s">
        <v>357</v>
      </c>
      <c r="I53" s="314" t="s">
        <v>358</v>
      </c>
      <c r="J53" s="315">
        <v>46296</v>
      </c>
      <c r="K53" s="316" t="s">
        <v>340</v>
      </c>
      <c r="L53" s="317"/>
      <c r="M53" s="314"/>
      <c r="N53" s="315"/>
      <c r="O53" s="319"/>
      <c r="P53" s="320"/>
      <c r="Q53" s="321"/>
      <c r="R53" s="316"/>
      <c r="S53" s="322"/>
      <c r="T53" s="326"/>
      <c r="V53" s="324"/>
      <c r="W53" s="314"/>
      <c r="X53" s="314"/>
      <c r="Y53" s="314"/>
      <c r="Z53" s="325"/>
      <c r="AA53" s="326"/>
      <c r="AB53" s="327"/>
      <c r="AC53" s="226"/>
    </row>
    <row r="54" spans="1:29" ht="32.4">
      <c r="A54" s="375">
        <f t="shared" si="0"/>
        <v>12</v>
      </c>
      <c r="B54" s="312" t="s">
        <v>265</v>
      </c>
      <c r="C54" s="313"/>
      <c r="D54" s="314" t="s">
        <v>343</v>
      </c>
      <c r="E54" s="314">
        <v>1</v>
      </c>
      <c r="F54" s="314">
        <v>3</v>
      </c>
      <c r="G54" s="314"/>
      <c r="H54" s="314" t="s">
        <v>360</v>
      </c>
      <c r="I54" s="314" t="s">
        <v>359</v>
      </c>
      <c r="J54" s="315">
        <v>46296</v>
      </c>
      <c r="K54" s="316" t="s">
        <v>340</v>
      </c>
      <c r="L54" s="317"/>
      <c r="M54" s="314"/>
      <c r="N54" s="315"/>
      <c r="O54" s="319"/>
      <c r="P54" s="320"/>
      <c r="Q54" s="321"/>
      <c r="R54" s="316"/>
      <c r="S54" s="322"/>
      <c r="T54" s="326"/>
      <c r="V54" s="324"/>
      <c r="W54" s="314"/>
      <c r="X54" s="314"/>
      <c r="Y54" s="314"/>
      <c r="Z54" s="325"/>
      <c r="AA54" s="326"/>
      <c r="AB54" s="327"/>
      <c r="AC54" s="226"/>
    </row>
    <row r="55" spans="1:29" ht="32.4">
      <c r="A55" s="375">
        <f t="shared" si="0"/>
        <v>13</v>
      </c>
      <c r="B55" s="312" t="s">
        <v>264</v>
      </c>
      <c r="C55" s="313" t="s">
        <v>342</v>
      </c>
      <c r="D55" s="330" t="s">
        <v>343</v>
      </c>
      <c r="E55" s="314">
        <v>1</v>
      </c>
      <c r="F55" s="314">
        <v>4</v>
      </c>
      <c r="G55" s="314"/>
      <c r="H55" s="314" t="s">
        <v>363</v>
      </c>
      <c r="I55" s="314" t="s">
        <v>362</v>
      </c>
      <c r="J55" s="315">
        <v>46296</v>
      </c>
      <c r="K55" s="316" t="s">
        <v>340</v>
      </c>
      <c r="L55" s="317"/>
      <c r="M55" s="314"/>
      <c r="N55" s="315"/>
      <c r="O55" s="319"/>
      <c r="P55" s="320"/>
      <c r="Q55" s="321"/>
      <c r="R55" s="316"/>
      <c r="S55" s="322"/>
      <c r="T55" s="326"/>
      <c r="V55" s="324"/>
      <c r="W55" s="314"/>
      <c r="X55" s="314"/>
      <c r="Y55" s="314"/>
      <c r="Z55" s="325"/>
      <c r="AA55" s="326"/>
      <c r="AB55" s="327"/>
      <c r="AC55" s="226"/>
    </row>
    <row r="56" spans="1:29" ht="32.4">
      <c r="A56" s="375">
        <f t="shared" si="0"/>
        <v>14</v>
      </c>
      <c r="B56" s="312" t="s">
        <v>264</v>
      </c>
      <c r="C56" s="313" t="s">
        <v>342</v>
      </c>
      <c r="D56" s="330" t="s">
        <v>343</v>
      </c>
      <c r="E56" s="314">
        <v>1</v>
      </c>
      <c r="F56" s="314">
        <v>4</v>
      </c>
      <c r="G56" s="314"/>
      <c r="H56" s="314" t="s">
        <v>364</v>
      </c>
      <c r="I56" s="314" t="s">
        <v>362</v>
      </c>
      <c r="J56" s="315">
        <v>46296</v>
      </c>
      <c r="K56" s="316" t="s">
        <v>340</v>
      </c>
      <c r="L56" s="317"/>
      <c r="M56" s="314"/>
      <c r="N56" s="315"/>
      <c r="O56" s="319"/>
      <c r="P56" s="320"/>
      <c r="Q56" s="321"/>
      <c r="R56" s="316"/>
      <c r="S56" s="322"/>
      <c r="T56" s="326"/>
      <c r="V56" s="324"/>
      <c r="W56" s="314"/>
      <c r="X56" s="314"/>
      <c r="Y56" s="314"/>
      <c r="Z56" s="325"/>
      <c r="AA56" s="326"/>
      <c r="AB56" s="327"/>
      <c r="AC56" s="226"/>
    </row>
    <row r="57" spans="1:29" ht="32.4">
      <c r="A57" s="375">
        <f t="shared" si="0"/>
        <v>15</v>
      </c>
      <c r="B57" s="312" t="s">
        <v>264</v>
      </c>
      <c r="C57" s="313" t="s">
        <v>342</v>
      </c>
      <c r="D57" s="330" t="s">
        <v>343</v>
      </c>
      <c r="E57" s="314">
        <v>1</v>
      </c>
      <c r="F57" s="314">
        <v>4</v>
      </c>
      <c r="G57" s="314"/>
      <c r="H57" s="314" t="s">
        <v>365</v>
      </c>
      <c r="I57" s="314" t="s">
        <v>362</v>
      </c>
      <c r="J57" s="315">
        <v>46296</v>
      </c>
      <c r="K57" s="316" t="s">
        <v>340</v>
      </c>
      <c r="L57" s="317"/>
      <c r="M57" s="314"/>
      <c r="N57" s="315"/>
      <c r="O57" s="319"/>
      <c r="P57" s="320"/>
      <c r="Q57" s="321"/>
      <c r="R57" s="316"/>
      <c r="S57" s="322"/>
      <c r="T57" s="326"/>
      <c r="V57" s="324"/>
      <c r="W57" s="314"/>
      <c r="X57" s="314"/>
      <c r="Y57" s="314"/>
      <c r="Z57" s="325"/>
      <c r="AA57" s="326"/>
      <c r="AB57" s="327"/>
      <c r="AC57" s="226"/>
    </row>
    <row r="58" spans="1:29" ht="32.4">
      <c r="A58" s="375">
        <f t="shared" si="0"/>
        <v>16</v>
      </c>
      <c r="B58" s="312" t="s">
        <v>264</v>
      </c>
      <c r="C58" s="313" t="s">
        <v>342</v>
      </c>
      <c r="D58" s="330" t="s">
        <v>343</v>
      </c>
      <c r="E58" s="314">
        <v>2</v>
      </c>
      <c r="F58" s="314"/>
      <c r="G58" s="314"/>
      <c r="H58" s="314" t="s">
        <v>368</v>
      </c>
      <c r="I58" s="314" t="s">
        <v>367</v>
      </c>
      <c r="J58" s="315">
        <v>46296</v>
      </c>
      <c r="K58" s="316" t="s">
        <v>340</v>
      </c>
      <c r="L58" s="317"/>
      <c r="M58" s="314"/>
      <c r="N58" s="315"/>
      <c r="O58" s="319"/>
      <c r="P58" s="320"/>
      <c r="Q58" s="321"/>
      <c r="R58" s="316"/>
      <c r="S58" s="322"/>
      <c r="T58" s="326"/>
      <c r="V58" s="324"/>
      <c r="W58" s="314"/>
      <c r="X58" s="314"/>
      <c r="Y58" s="314"/>
      <c r="Z58" s="325"/>
      <c r="AA58" s="326"/>
      <c r="AB58" s="327"/>
      <c r="AC58" s="226"/>
    </row>
    <row r="59" spans="1:29" ht="32.4">
      <c r="A59" s="375">
        <f t="shared" si="0"/>
        <v>17</v>
      </c>
      <c r="B59" s="312" t="s">
        <v>264</v>
      </c>
      <c r="C59" s="313" t="s">
        <v>342</v>
      </c>
      <c r="D59" s="330" t="s">
        <v>369</v>
      </c>
      <c r="E59" s="314">
        <v>2</v>
      </c>
      <c r="F59" s="314"/>
      <c r="G59" s="314"/>
      <c r="H59" s="314" t="s">
        <v>381</v>
      </c>
      <c r="I59" s="314" t="s">
        <v>362</v>
      </c>
      <c r="J59" s="315">
        <v>46296</v>
      </c>
      <c r="K59" s="316" t="s">
        <v>340</v>
      </c>
      <c r="L59" s="317"/>
      <c r="M59" s="314"/>
      <c r="N59" s="315"/>
      <c r="O59" s="319"/>
      <c r="P59" s="320"/>
      <c r="Q59" s="321"/>
      <c r="R59" s="316"/>
      <c r="S59" s="322"/>
      <c r="T59" s="326"/>
      <c r="V59" s="324"/>
      <c r="W59" s="314"/>
      <c r="X59" s="314"/>
      <c r="Y59" s="314"/>
      <c r="Z59" s="325"/>
      <c r="AA59" s="326"/>
      <c r="AB59" s="327"/>
      <c r="AC59" s="226"/>
    </row>
    <row r="60" spans="1:29" ht="32.4">
      <c r="A60" s="375">
        <f t="shared" si="0"/>
        <v>18</v>
      </c>
      <c r="B60" s="312" t="s">
        <v>263</v>
      </c>
      <c r="C60" s="313" t="s">
        <v>100</v>
      </c>
      <c r="D60" s="330" t="s">
        <v>370</v>
      </c>
      <c r="E60" s="314">
        <v>2</v>
      </c>
      <c r="F60" s="314"/>
      <c r="G60" s="314"/>
      <c r="H60" s="314" t="s">
        <v>382</v>
      </c>
      <c r="I60" s="314" t="s">
        <v>380</v>
      </c>
      <c r="J60" s="315">
        <v>46296</v>
      </c>
      <c r="K60" s="316" t="s">
        <v>340</v>
      </c>
      <c r="L60" s="317"/>
      <c r="M60" s="314"/>
      <c r="N60" s="315"/>
      <c r="O60" s="319"/>
      <c r="P60" s="320"/>
      <c r="Q60" s="321"/>
      <c r="R60" s="316"/>
      <c r="S60" s="322"/>
      <c r="T60" s="326"/>
      <c r="V60" s="324"/>
      <c r="W60" s="314"/>
      <c r="X60" s="314"/>
      <c r="Y60" s="314"/>
      <c r="Z60" s="325"/>
      <c r="AA60" s="326"/>
      <c r="AB60" s="327"/>
      <c r="AC60" s="226"/>
    </row>
    <row r="61" spans="1:29" ht="43.2">
      <c r="A61" s="375">
        <f t="shared" si="0"/>
        <v>19</v>
      </c>
      <c r="B61" s="312" t="s">
        <v>264</v>
      </c>
      <c r="C61" s="313" t="s">
        <v>342</v>
      </c>
      <c r="D61" s="330" t="s">
        <v>371</v>
      </c>
      <c r="E61" s="314">
        <v>2</v>
      </c>
      <c r="F61" s="314"/>
      <c r="G61" s="314"/>
      <c r="H61" s="314" t="s">
        <v>383</v>
      </c>
      <c r="I61" s="314" t="s">
        <v>384</v>
      </c>
      <c r="J61" s="315">
        <v>46296</v>
      </c>
      <c r="K61" s="316" t="s">
        <v>340</v>
      </c>
      <c r="L61" s="317"/>
      <c r="M61" s="314"/>
      <c r="N61" s="315"/>
      <c r="O61" s="319"/>
      <c r="P61" s="320"/>
      <c r="Q61" s="321"/>
      <c r="R61" s="316"/>
      <c r="S61" s="322"/>
      <c r="T61" s="326"/>
      <c r="V61" s="324"/>
      <c r="W61" s="314"/>
      <c r="X61" s="314"/>
      <c r="Y61" s="314"/>
      <c r="Z61" s="325"/>
      <c r="AA61" s="326"/>
      <c r="AB61" s="327"/>
      <c r="AC61" s="226"/>
    </row>
    <row r="62" spans="1:29" ht="32.4">
      <c r="A62" s="375">
        <f t="shared" si="0"/>
        <v>20</v>
      </c>
      <c r="B62" s="312" t="s">
        <v>264</v>
      </c>
      <c r="C62" s="313" t="s">
        <v>342</v>
      </c>
      <c r="D62" s="330" t="s">
        <v>372</v>
      </c>
      <c r="E62" s="314">
        <v>2</v>
      </c>
      <c r="F62" s="314"/>
      <c r="G62" s="314"/>
      <c r="H62" s="314" t="s">
        <v>385</v>
      </c>
      <c r="I62" s="314" t="s">
        <v>386</v>
      </c>
      <c r="J62" s="315">
        <v>46296</v>
      </c>
      <c r="K62" s="316" t="s">
        <v>340</v>
      </c>
      <c r="L62" s="317"/>
      <c r="M62" s="314"/>
      <c r="N62" s="315"/>
      <c r="O62" s="319"/>
      <c r="P62" s="320"/>
      <c r="Q62" s="321"/>
      <c r="R62" s="316"/>
      <c r="S62" s="322"/>
      <c r="T62" s="326"/>
      <c r="V62" s="324"/>
      <c r="W62" s="314"/>
      <c r="X62" s="314"/>
      <c r="Y62" s="314"/>
      <c r="Z62" s="325"/>
      <c r="AA62" s="326"/>
      <c r="AB62" s="327"/>
      <c r="AC62" s="226"/>
    </row>
    <row r="63" spans="1:29" ht="43.2">
      <c r="A63" s="375">
        <f t="shared" si="0"/>
        <v>21</v>
      </c>
      <c r="B63" s="312" t="s">
        <v>264</v>
      </c>
      <c r="C63" s="313" t="s">
        <v>342</v>
      </c>
      <c r="D63" s="330" t="s">
        <v>373</v>
      </c>
      <c r="E63" s="314">
        <v>2</v>
      </c>
      <c r="F63" s="314"/>
      <c r="G63" s="314"/>
      <c r="H63" s="314" t="s">
        <v>387</v>
      </c>
      <c r="I63" s="314" t="s">
        <v>388</v>
      </c>
      <c r="J63" s="315">
        <v>46296</v>
      </c>
      <c r="K63" s="316" t="s">
        <v>340</v>
      </c>
      <c r="L63" s="317"/>
      <c r="M63" s="314"/>
      <c r="N63" s="315"/>
      <c r="O63" s="319"/>
      <c r="P63" s="320"/>
      <c r="Q63" s="321"/>
      <c r="R63" s="316"/>
      <c r="S63" s="322"/>
      <c r="T63" s="326"/>
      <c r="V63" s="324"/>
      <c r="W63" s="314"/>
      <c r="X63" s="314"/>
      <c r="Y63" s="314"/>
      <c r="Z63" s="325"/>
      <c r="AA63" s="326"/>
      <c r="AB63" s="327"/>
      <c r="AC63" s="226"/>
    </row>
    <row r="64" spans="1:29" ht="32.4">
      <c r="A64" s="375">
        <f t="shared" si="0"/>
        <v>22</v>
      </c>
      <c r="B64" s="312" t="s">
        <v>264</v>
      </c>
      <c r="C64" s="313" t="s">
        <v>342</v>
      </c>
      <c r="D64" s="330" t="s">
        <v>369</v>
      </c>
      <c r="E64" s="314">
        <v>2</v>
      </c>
      <c r="F64" s="314"/>
      <c r="G64" s="314"/>
      <c r="H64" s="314" t="s">
        <v>389</v>
      </c>
      <c r="I64" s="314" t="s">
        <v>362</v>
      </c>
      <c r="J64" s="315">
        <v>46296</v>
      </c>
      <c r="K64" s="316" t="s">
        <v>340</v>
      </c>
      <c r="L64" s="317"/>
      <c r="M64" s="314"/>
      <c r="N64" s="315"/>
      <c r="O64" s="319"/>
      <c r="P64" s="320"/>
      <c r="Q64" s="321"/>
      <c r="R64" s="316"/>
      <c r="S64" s="322"/>
      <c r="T64" s="326"/>
      <c r="V64" s="324"/>
      <c r="W64" s="314"/>
      <c r="X64" s="314"/>
      <c r="Y64" s="314"/>
      <c r="Z64" s="325"/>
      <c r="AA64" s="326"/>
      <c r="AB64" s="327"/>
      <c r="AC64" s="226"/>
    </row>
    <row r="65" spans="1:29" ht="32.4">
      <c r="A65" s="375">
        <f t="shared" si="0"/>
        <v>23</v>
      </c>
      <c r="B65" s="312" t="s">
        <v>265</v>
      </c>
      <c r="C65" s="313"/>
      <c r="D65" s="330" t="s">
        <v>374</v>
      </c>
      <c r="E65" s="314">
        <v>2</v>
      </c>
      <c r="F65" s="314"/>
      <c r="G65" s="314"/>
      <c r="H65" s="314" t="s">
        <v>390</v>
      </c>
      <c r="I65" s="314" t="s">
        <v>391</v>
      </c>
      <c r="J65" s="315">
        <v>46296</v>
      </c>
      <c r="K65" s="316" t="s">
        <v>340</v>
      </c>
      <c r="L65" s="317"/>
      <c r="M65" s="314"/>
      <c r="N65" s="315"/>
      <c r="O65" s="319"/>
      <c r="P65" s="320"/>
      <c r="Q65" s="321"/>
      <c r="R65" s="316"/>
      <c r="S65" s="322"/>
      <c r="T65" s="326"/>
      <c r="V65" s="324"/>
      <c r="W65" s="314"/>
      <c r="X65" s="314"/>
      <c r="Y65" s="314"/>
      <c r="Z65" s="325"/>
      <c r="AA65" s="326"/>
      <c r="AB65" s="327"/>
      <c r="AC65" s="226"/>
    </row>
    <row r="66" spans="1:29" ht="32.4">
      <c r="A66" s="375">
        <f t="shared" si="0"/>
        <v>24</v>
      </c>
      <c r="B66" s="312" t="s">
        <v>264</v>
      </c>
      <c r="C66" s="313" t="s">
        <v>342</v>
      </c>
      <c r="D66" s="330" t="s">
        <v>343</v>
      </c>
      <c r="E66" s="314">
        <v>3</v>
      </c>
      <c r="F66" s="314">
        <v>1</v>
      </c>
      <c r="G66" s="314"/>
      <c r="H66" s="314" t="s">
        <v>396</v>
      </c>
      <c r="I66" s="314" t="s">
        <v>392</v>
      </c>
      <c r="J66" s="315">
        <v>46296</v>
      </c>
      <c r="K66" s="316" t="s">
        <v>340</v>
      </c>
      <c r="L66" s="317"/>
      <c r="M66" s="314"/>
      <c r="N66" s="315"/>
      <c r="O66" s="319"/>
      <c r="P66" s="320"/>
      <c r="Q66" s="321"/>
      <c r="R66" s="316"/>
      <c r="S66" s="322"/>
      <c r="T66" s="326"/>
      <c r="V66" s="324"/>
      <c r="W66" s="314"/>
      <c r="X66" s="314"/>
      <c r="Y66" s="314"/>
      <c r="Z66" s="325"/>
      <c r="AA66" s="326"/>
      <c r="AB66" s="327"/>
      <c r="AC66" s="226"/>
    </row>
    <row r="67" spans="1:29" ht="32.4">
      <c r="A67" s="375">
        <f t="shared" si="0"/>
        <v>25</v>
      </c>
      <c r="B67" s="312" t="s">
        <v>265</v>
      </c>
      <c r="C67" s="313"/>
      <c r="D67" s="330" t="s">
        <v>375</v>
      </c>
      <c r="E67" s="314">
        <v>3</v>
      </c>
      <c r="F67" s="314">
        <v>1</v>
      </c>
      <c r="G67" s="314"/>
      <c r="H67" s="314" t="s">
        <v>398</v>
      </c>
      <c r="I67" s="314" t="s">
        <v>393</v>
      </c>
      <c r="J67" s="315">
        <v>46296</v>
      </c>
      <c r="K67" s="316" t="s">
        <v>340</v>
      </c>
      <c r="L67" s="317"/>
      <c r="M67" s="314"/>
      <c r="N67" s="315"/>
      <c r="O67" s="319"/>
      <c r="P67" s="320"/>
      <c r="Q67" s="321"/>
      <c r="R67" s="316"/>
      <c r="S67" s="322"/>
      <c r="T67" s="326"/>
      <c r="V67" s="324"/>
      <c r="W67" s="314"/>
      <c r="X67" s="314"/>
      <c r="Y67" s="314"/>
      <c r="Z67" s="325"/>
      <c r="AA67" s="326"/>
      <c r="AB67" s="327"/>
      <c r="AC67" s="226"/>
    </row>
    <row r="68" spans="1:29" ht="32.4">
      <c r="A68" s="375">
        <f t="shared" si="0"/>
        <v>26</v>
      </c>
      <c r="B68" s="312" t="s">
        <v>264</v>
      </c>
      <c r="C68" s="313" t="s">
        <v>342</v>
      </c>
      <c r="D68" s="330" t="s">
        <v>376</v>
      </c>
      <c r="E68" s="314">
        <v>3</v>
      </c>
      <c r="F68" s="314">
        <v>1</v>
      </c>
      <c r="G68" s="314"/>
      <c r="H68" s="314" t="s">
        <v>397</v>
      </c>
      <c r="I68" s="314" t="s">
        <v>394</v>
      </c>
      <c r="J68" s="315">
        <v>46296</v>
      </c>
      <c r="K68" s="316" t="s">
        <v>340</v>
      </c>
      <c r="L68" s="317"/>
      <c r="M68" s="314"/>
      <c r="N68" s="315"/>
      <c r="O68" s="319"/>
      <c r="P68" s="320"/>
      <c r="Q68" s="321"/>
      <c r="R68" s="316"/>
      <c r="S68" s="322"/>
      <c r="T68" s="326"/>
      <c r="V68" s="324"/>
      <c r="W68" s="314"/>
      <c r="X68" s="314"/>
      <c r="Y68" s="314"/>
      <c r="Z68" s="325"/>
      <c r="AA68" s="326"/>
      <c r="AB68" s="327"/>
      <c r="AC68" s="226"/>
    </row>
    <row r="69" spans="1:29" ht="43.2">
      <c r="A69" s="375">
        <f t="shared" si="0"/>
        <v>27</v>
      </c>
      <c r="B69" s="312" t="s">
        <v>265</v>
      </c>
      <c r="C69" s="313"/>
      <c r="D69" s="330" t="s">
        <v>377</v>
      </c>
      <c r="E69" s="314">
        <v>3</v>
      </c>
      <c r="F69" s="314">
        <v>1</v>
      </c>
      <c r="G69" s="314"/>
      <c r="H69" s="314" t="s">
        <v>396</v>
      </c>
      <c r="I69" s="314" t="s">
        <v>395</v>
      </c>
      <c r="J69" s="315">
        <v>46296</v>
      </c>
      <c r="K69" s="316" t="s">
        <v>340</v>
      </c>
      <c r="L69" s="317"/>
      <c r="M69" s="314"/>
      <c r="N69" s="315"/>
      <c r="O69" s="319"/>
      <c r="P69" s="320"/>
      <c r="Q69" s="321"/>
      <c r="R69" s="316"/>
      <c r="S69" s="322"/>
      <c r="T69" s="326"/>
      <c r="V69" s="324"/>
      <c r="W69" s="314"/>
      <c r="X69" s="314"/>
      <c r="Y69" s="314"/>
      <c r="Z69" s="325"/>
      <c r="AA69" s="326"/>
      <c r="AB69" s="327"/>
      <c r="AC69" s="226"/>
    </row>
    <row r="70" spans="1:29" ht="32.4">
      <c r="A70" s="375">
        <f t="shared" si="0"/>
        <v>28</v>
      </c>
      <c r="B70" s="312" t="s">
        <v>265</v>
      </c>
      <c r="C70" s="313"/>
      <c r="D70" s="330" t="s">
        <v>378</v>
      </c>
      <c r="E70" s="314">
        <v>3</v>
      </c>
      <c r="F70" s="314">
        <v>2</v>
      </c>
      <c r="G70" s="314"/>
      <c r="H70" s="314" t="s">
        <v>399</v>
      </c>
      <c r="I70" s="314" t="s">
        <v>400</v>
      </c>
      <c r="J70" s="315">
        <v>46296</v>
      </c>
      <c r="K70" s="316" t="s">
        <v>340</v>
      </c>
      <c r="L70" s="317"/>
      <c r="M70" s="314"/>
      <c r="N70" s="315"/>
      <c r="O70" s="319"/>
      <c r="P70" s="320"/>
      <c r="Q70" s="321"/>
      <c r="R70" s="316"/>
      <c r="S70" s="322"/>
      <c r="T70" s="326"/>
      <c r="V70" s="324"/>
      <c r="W70" s="314"/>
      <c r="X70" s="314"/>
      <c r="Y70" s="314"/>
      <c r="Z70" s="325"/>
      <c r="AA70" s="326"/>
      <c r="AB70" s="327"/>
      <c r="AC70" s="226"/>
    </row>
    <row r="71" spans="1:29" ht="43.2">
      <c r="A71" s="375">
        <f t="shared" si="0"/>
        <v>29</v>
      </c>
      <c r="B71" s="312" t="s">
        <v>264</v>
      </c>
      <c r="C71" s="313" t="s">
        <v>98</v>
      </c>
      <c r="D71" s="330" t="s">
        <v>379</v>
      </c>
      <c r="E71" s="314">
        <v>3</v>
      </c>
      <c r="F71" s="314">
        <v>2</v>
      </c>
      <c r="G71" s="314"/>
      <c r="H71" s="314" t="s">
        <v>399</v>
      </c>
      <c r="I71" s="314" t="s">
        <v>401</v>
      </c>
      <c r="J71" s="315">
        <v>46296</v>
      </c>
      <c r="K71" s="316" t="s">
        <v>340</v>
      </c>
      <c r="L71" s="317"/>
      <c r="M71" s="314"/>
      <c r="N71" s="315"/>
      <c r="O71" s="319"/>
      <c r="P71" s="320"/>
      <c r="Q71" s="321"/>
      <c r="R71" s="316"/>
      <c r="S71" s="322"/>
      <c r="T71" s="326"/>
      <c r="V71" s="324"/>
      <c r="W71" s="314"/>
      <c r="X71" s="314"/>
      <c r="Y71" s="314"/>
      <c r="Z71" s="325"/>
      <c r="AA71" s="326"/>
      <c r="AB71" s="327"/>
      <c r="AC71" s="226"/>
    </row>
    <row r="72" spans="1:29" ht="54">
      <c r="A72" s="375">
        <f t="shared" si="0"/>
        <v>30</v>
      </c>
      <c r="B72" s="312" t="s">
        <v>264</v>
      </c>
      <c r="C72" s="313" t="s">
        <v>97</v>
      </c>
      <c r="D72" s="330" t="s">
        <v>379</v>
      </c>
      <c r="E72" s="314">
        <v>3</v>
      </c>
      <c r="F72" s="314">
        <v>2</v>
      </c>
      <c r="G72" s="314"/>
      <c r="H72" s="314" t="s">
        <v>399</v>
      </c>
      <c r="I72" s="314" t="s">
        <v>402</v>
      </c>
      <c r="J72" s="315">
        <v>46296</v>
      </c>
      <c r="K72" s="316" t="s">
        <v>340</v>
      </c>
      <c r="L72" s="317"/>
      <c r="M72" s="314"/>
      <c r="N72" s="315"/>
      <c r="O72" s="319"/>
      <c r="P72" s="320"/>
      <c r="Q72" s="321"/>
      <c r="R72" s="316"/>
      <c r="S72" s="322"/>
      <c r="T72" s="326"/>
      <c r="V72" s="324"/>
      <c r="W72" s="314"/>
      <c r="X72" s="314"/>
      <c r="Y72" s="314"/>
      <c r="Z72" s="325"/>
      <c r="AA72" s="326"/>
      <c r="AB72" s="327"/>
      <c r="AC72" s="226"/>
    </row>
    <row r="73" spans="1:29" ht="32.4">
      <c r="A73" s="375">
        <f t="shared" si="0"/>
        <v>31</v>
      </c>
      <c r="B73" s="312" t="s">
        <v>264</v>
      </c>
      <c r="C73" s="313" t="s">
        <v>342</v>
      </c>
      <c r="D73" s="330" t="s">
        <v>379</v>
      </c>
      <c r="E73" s="314">
        <v>3</v>
      </c>
      <c r="F73" s="314">
        <v>3</v>
      </c>
      <c r="G73" s="314"/>
      <c r="H73" s="314" t="s">
        <v>403</v>
      </c>
      <c r="I73" s="314" t="s">
        <v>404</v>
      </c>
      <c r="J73" s="315">
        <v>46296</v>
      </c>
      <c r="K73" s="316" t="s">
        <v>340</v>
      </c>
      <c r="L73" s="317"/>
      <c r="M73" s="314"/>
      <c r="N73" s="315"/>
      <c r="O73" s="319"/>
      <c r="P73" s="320"/>
      <c r="Q73" s="321"/>
      <c r="R73" s="316"/>
      <c r="S73" s="322"/>
      <c r="T73" s="326"/>
      <c r="V73" s="324"/>
      <c r="W73" s="314"/>
      <c r="X73" s="314"/>
      <c r="Y73" s="314"/>
      <c r="Z73" s="325"/>
      <c r="AA73" s="326"/>
      <c r="AB73" s="327"/>
      <c r="AC73" s="226"/>
    </row>
    <row r="74" spans="1:29" ht="32.4">
      <c r="A74" s="375">
        <f t="shared" si="0"/>
        <v>32</v>
      </c>
      <c r="B74" s="312" t="s">
        <v>264</v>
      </c>
      <c r="C74" s="313" t="s">
        <v>97</v>
      </c>
      <c r="D74" s="330" t="s">
        <v>379</v>
      </c>
      <c r="E74" s="314">
        <v>3</v>
      </c>
      <c r="F74" s="314">
        <v>3</v>
      </c>
      <c r="G74" s="314"/>
      <c r="H74" s="314" t="s">
        <v>403</v>
      </c>
      <c r="I74" s="314" t="s">
        <v>405</v>
      </c>
      <c r="J74" s="315">
        <v>46296</v>
      </c>
      <c r="K74" s="316" t="s">
        <v>340</v>
      </c>
      <c r="L74" s="317"/>
      <c r="M74" s="314"/>
      <c r="N74" s="315"/>
      <c r="O74" s="319"/>
      <c r="P74" s="320"/>
      <c r="Q74" s="321"/>
      <c r="R74" s="316"/>
      <c r="S74" s="322"/>
      <c r="T74" s="326"/>
      <c r="V74" s="324"/>
      <c r="W74" s="314"/>
      <c r="X74" s="314"/>
      <c r="Y74" s="314"/>
      <c r="Z74" s="325"/>
      <c r="AA74" s="326"/>
      <c r="AB74" s="327"/>
      <c r="AC74" s="226"/>
    </row>
    <row r="75" spans="1:29" ht="32.4">
      <c r="A75" s="375">
        <f t="shared" si="0"/>
        <v>33</v>
      </c>
      <c r="B75" s="312" t="s">
        <v>264</v>
      </c>
      <c r="C75" s="313" t="s">
        <v>100</v>
      </c>
      <c r="D75" s="330" t="s">
        <v>379</v>
      </c>
      <c r="E75" s="314">
        <v>3</v>
      </c>
      <c r="F75" s="314">
        <v>3</v>
      </c>
      <c r="G75" s="314"/>
      <c r="H75" s="314" t="s">
        <v>407</v>
      </c>
      <c r="I75" s="314" t="s">
        <v>406</v>
      </c>
      <c r="J75" s="315">
        <v>46296</v>
      </c>
      <c r="K75" s="316" t="s">
        <v>340</v>
      </c>
      <c r="L75" s="317"/>
      <c r="M75" s="314"/>
      <c r="N75" s="315"/>
      <c r="O75" s="319"/>
      <c r="P75" s="320"/>
      <c r="Q75" s="321"/>
      <c r="R75" s="316"/>
      <c r="S75" s="322"/>
      <c r="T75" s="326"/>
      <c r="V75" s="324"/>
      <c r="W75" s="314"/>
      <c r="X75" s="314"/>
      <c r="Y75" s="314"/>
      <c r="Z75" s="325"/>
      <c r="AA75" s="326"/>
      <c r="AB75" s="327"/>
      <c r="AC75" s="226"/>
    </row>
    <row r="76" spans="1:29" ht="32.4">
      <c r="A76" s="375">
        <f t="shared" si="0"/>
        <v>34</v>
      </c>
      <c r="B76" s="312" t="s">
        <v>264</v>
      </c>
      <c r="C76" s="313" t="s">
        <v>94</v>
      </c>
      <c r="D76" s="330" t="s">
        <v>379</v>
      </c>
      <c r="E76" s="314">
        <v>3</v>
      </c>
      <c r="F76" s="314">
        <v>3</v>
      </c>
      <c r="G76" s="314"/>
      <c r="H76" s="314" t="s">
        <v>408</v>
      </c>
      <c r="I76" s="314" t="s">
        <v>411</v>
      </c>
      <c r="J76" s="315">
        <v>46296</v>
      </c>
      <c r="K76" s="316" t="s">
        <v>340</v>
      </c>
      <c r="L76" s="317"/>
      <c r="M76" s="314"/>
      <c r="N76" s="315"/>
      <c r="O76" s="319"/>
      <c r="P76" s="320"/>
      <c r="Q76" s="321"/>
      <c r="R76" s="316"/>
      <c r="S76" s="322"/>
      <c r="T76" s="326"/>
      <c r="V76" s="324"/>
      <c r="W76" s="314"/>
      <c r="X76" s="314"/>
      <c r="Y76" s="314"/>
      <c r="Z76" s="325"/>
      <c r="AA76" s="326"/>
      <c r="AB76" s="327"/>
      <c r="AC76" s="226"/>
    </row>
    <row r="77" spans="1:29" ht="32.4">
      <c r="A77" s="375">
        <f t="shared" si="0"/>
        <v>35</v>
      </c>
      <c r="B77" s="312" t="s">
        <v>264</v>
      </c>
      <c r="C77" s="313" t="s">
        <v>94</v>
      </c>
      <c r="D77" s="330" t="s">
        <v>379</v>
      </c>
      <c r="E77" s="314">
        <v>3</v>
      </c>
      <c r="F77" s="314">
        <v>3</v>
      </c>
      <c r="G77" s="314"/>
      <c r="H77" s="314" t="s">
        <v>409</v>
      </c>
      <c r="I77" s="314" t="s">
        <v>410</v>
      </c>
      <c r="J77" s="315">
        <v>46296</v>
      </c>
      <c r="K77" s="316" t="s">
        <v>340</v>
      </c>
      <c r="L77" s="317"/>
      <c r="M77" s="314"/>
      <c r="N77" s="315"/>
      <c r="O77" s="319"/>
      <c r="P77" s="320"/>
      <c r="Q77" s="321"/>
      <c r="R77" s="316"/>
      <c r="S77" s="322"/>
      <c r="T77" s="326"/>
      <c r="V77" s="324"/>
      <c r="W77" s="314"/>
      <c r="X77" s="314"/>
      <c r="Y77" s="314"/>
      <c r="Z77" s="325"/>
      <c r="AA77" s="326"/>
      <c r="AB77" s="327"/>
      <c r="AC77" s="226"/>
    </row>
    <row r="78" spans="1:29" ht="64.8">
      <c r="A78" s="375">
        <f t="shared" si="0"/>
        <v>36</v>
      </c>
      <c r="B78" s="312" t="s">
        <v>264</v>
      </c>
      <c r="C78" s="313" t="s">
        <v>342</v>
      </c>
      <c r="D78" s="330" t="s">
        <v>379</v>
      </c>
      <c r="E78" s="314">
        <v>3</v>
      </c>
      <c r="F78" s="314">
        <v>3</v>
      </c>
      <c r="G78" s="314"/>
      <c r="H78" s="314" t="s">
        <v>413</v>
      </c>
      <c r="I78" s="314" t="s">
        <v>412</v>
      </c>
      <c r="J78" s="315">
        <v>46296</v>
      </c>
      <c r="K78" s="316" t="s">
        <v>340</v>
      </c>
      <c r="L78" s="317"/>
      <c r="M78" s="314"/>
      <c r="N78" s="315"/>
      <c r="O78" s="319"/>
      <c r="P78" s="320"/>
      <c r="Q78" s="321"/>
      <c r="R78" s="316"/>
      <c r="S78" s="322"/>
      <c r="T78" s="326"/>
      <c r="V78" s="324"/>
      <c r="W78" s="314"/>
      <c r="X78" s="314"/>
      <c r="Y78" s="314"/>
      <c r="Z78" s="325"/>
      <c r="AA78" s="326"/>
      <c r="AB78" s="327"/>
      <c r="AC78" s="226"/>
    </row>
    <row r="79" spans="1:29" ht="32.4">
      <c r="A79" s="375">
        <f t="shared" si="0"/>
        <v>37</v>
      </c>
      <c r="B79" s="312" t="s">
        <v>265</v>
      </c>
      <c r="C79" s="313"/>
      <c r="D79" s="330" t="s">
        <v>379</v>
      </c>
      <c r="E79" s="314">
        <v>3</v>
      </c>
      <c r="F79" s="314">
        <v>3</v>
      </c>
      <c r="G79" s="314"/>
      <c r="H79" s="314" t="s">
        <v>414</v>
      </c>
      <c r="I79" s="314" t="s">
        <v>415</v>
      </c>
      <c r="J79" s="315">
        <v>46296</v>
      </c>
      <c r="K79" s="316" t="s">
        <v>340</v>
      </c>
      <c r="L79" s="317"/>
      <c r="M79" s="314"/>
      <c r="N79" s="315"/>
      <c r="O79" s="319"/>
      <c r="P79" s="320"/>
      <c r="Q79" s="321"/>
      <c r="R79" s="316"/>
      <c r="S79" s="322"/>
      <c r="T79" s="326"/>
      <c r="V79" s="324"/>
      <c r="W79" s="314"/>
      <c r="X79" s="314"/>
      <c r="Y79" s="314"/>
      <c r="Z79" s="325"/>
      <c r="AA79" s="326"/>
      <c r="AB79" s="327"/>
      <c r="AC79" s="226"/>
    </row>
    <row r="80" spans="1:29" ht="32.4">
      <c r="A80" s="375">
        <f t="shared" si="0"/>
        <v>38</v>
      </c>
      <c r="B80" s="312" t="s">
        <v>265</v>
      </c>
      <c r="C80" s="313"/>
      <c r="D80" s="330" t="s">
        <v>379</v>
      </c>
      <c r="E80" s="314">
        <v>3</v>
      </c>
      <c r="F80" s="314">
        <v>3</v>
      </c>
      <c r="G80" s="314"/>
      <c r="H80" s="314"/>
      <c r="I80" s="314" t="s">
        <v>416</v>
      </c>
      <c r="J80" s="315">
        <v>46296</v>
      </c>
      <c r="K80" s="316" t="s">
        <v>340</v>
      </c>
      <c r="L80" s="317"/>
      <c r="M80" s="314"/>
      <c r="N80" s="315"/>
      <c r="O80" s="319"/>
      <c r="P80" s="320"/>
      <c r="Q80" s="321"/>
      <c r="R80" s="316"/>
      <c r="S80" s="322"/>
      <c r="T80" s="326"/>
      <c r="V80" s="324"/>
      <c r="W80" s="314"/>
      <c r="X80" s="314"/>
      <c r="Y80" s="314"/>
      <c r="Z80" s="325"/>
      <c r="AA80" s="326"/>
      <c r="AB80" s="327"/>
      <c r="AC80" s="226"/>
    </row>
    <row r="81" spans="1:29" ht="32.4">
      <c r="A81" s="375">
        <f t="shared" si="0"/>
        <v>39</v>
      </c>
      <c r="B81" s="312" t="s">
        <v>265</v>
      </c>
      <c r="C81" s="313"/>
      <c r="D81" s="330" t="s">
        <v>379</v>
      </c>
      <c r="E81" s="314">
        <v>4</v>
      </c>
      <c r="F81" s="314">
        <v>1</v>
      </c>
      <c r="G81" s="314"/>
      <c r="H81" s="314" t="s">
        <v>417</v>
      </c>
      <c r="I81" s="314" t="s">
        <v>418</v>
      </c>
      <c r="J81" s="315">
        <v>46297</v>
      </c>
      <c r="K81" s="316" t="s">
        <v>340</v>
      </c>
      <c r="L81" s="317"/>
      <c r="M81" s="314"/>
      <c r="N81" s="315"/>
      <c r="O81" s="319"/>
      <c r="P81" s="320"/>
      <c r="Q81" s="321"/>
      <c r="R81" s="316"/>
      <c r="S81" s="322"/>
      <c r="T81" s="326"/>
      <c r="V81" s="324"/>
      <c r="W81" s="314"/>
      <c r="X81" s="314"/>
      <c r="Y81" s="314"/>
      <c r="Z81" s="325"/>
      <c r="AA81" s="326"/>
      <c r="AB81" s="327"/>
      <c r="AC81" s="226"/>
    </row>
    <row r="82" spans="1:29" ht="129.6">
      <c r="A82" s="375">
        <f t="shared" si="0"/>
        <v>40</v>
      </c>
      <c r="B82" s="312" t="s">
        <v>264</v>
      </c>
      <c r="C82" s="313" t="s">
        <v>342</v>
      </c>
      <c r="D82" s="330" t="s">
        <v>379</v>
      </c>
      <c r="E82" s="314">
        <v>4</v>
      </c>
      <c r="F82" s="314"/>
      <c r="G82" s="314"/>
      <c r="H82" s="314" t="s">
        <v>417</v>
      </c>
      <c r="I82" s="314" t="s">
        <v>419</v>
      </c>
      <c r="J82" s="315">
        <v>46297</v>
      </c>
      <c r="K82" s="316" t="s">
        <v>340</v>
      </c>
      <c r="L82" s="317"/>
      <c r="M82" s="314"/>
      <c r="N82" s="315"/>
      <c r="O82" s="319"/>
      <c r="P82" s="320"/>
      <c r="Q82" s="321"/>
      <c r="R82" s="316"/>
      <c r="S82" s="322"/>
      <c r="T82" s="326"/>
      <c r="V82" s="324"/>
      <c r="W82" s="314"/>
      <c r="X82" s="314"/>
      <c r="Y82" s="314"/>
      <c r="Z82" s="325"/>
      <c r="AA82" s="326"/>
      <c r="AB82" s="327"/>
      <c r="AC82" s="226"/>
    </row>
    <row r="83" spans="1:29" ht="43.2">
      <c r="A83" s="375">
        <f t="shared" si="0"/>
        <v>41</v>
      </c>
      <c r="B83" s="312" t="s">
        <v>264</v>
      </c>
      <c r="C83" s="313" t="s">
        <v>94</v>
      </c>
      <c r="D83" s="330" t="s">
        <v>379</v>
      </c>
      <c r="E83" s="314">
        <v>5</v>
      </c>
      <c r="F83" s="314">
        <v>1</v>
      </c>
      <c r="G83" s="314"/>
      <c r="H83" s="314" t="s">
        <v>421</v>
      </c>
      <c r="I83" s="314" t="s">
        <v>420</v>
      </c>
      <c r="J83" s="315">
        <v>46297</v>
      </c>
      <c r="K83" s="316" t="s">
        <v>340</v>
      </c>
      <c r="L83" s="317"/>
      <c r="M83" s="314"/>
      <c r="N83" s="315"/>
      <c r="O83" s="319"/>
      <c r="P83" s="320"/>
      <c r="Q83" s="321"/>
      <c r="R83" s="316"/>
      <c r="S83" s="322"/>
      <c r="T83" s="326"/>
      <c r="V83" s="324"/>
      <c r="W83" s="314"/>
      <c r="X83" s="314"/>
      <c r="Y83" s="314"/>
      <c r="Z83" s="325"/>
      <c r="AA83" s="326"/>
      <c r="AB83" s="327"/>
      <c r="AC83" s="226"/>
    </row>
    <row r="84" spans="1:29" ht="97.2">
      <c r="A84" s="375">
        <f t="shared" si="0"/>
        <v>42</v>
      </c>
      <c r="B84" s="312" t="s">
        <v>263</v>
      </c>
      <c r="C84" s="313" t="s">
        <v>98</v>
      </c>
      <c r="D84" s="330" t="s">
        <v>379</v>
      </c>
      <c r="E84" s="314">
        <v>5</v>
      </c>
      <c r="F84" s="314">
        <v>2</v>
      </c>
      <c r="G84" s="314"/>
      <c r="H84" s="314" t="s">
        <v>422</v>
      </c>
      <c r="I84" s="314" t="s">
        <v>423</v>
      </c>
      <c r="J84" s="315">
        <v>46297</v>
      </c>
      <c r="K84" s="316" t="s">
        <v>340</v>
      </c>
      <c r="L84" s="317"/>
      <c r="M84" s="314"/>
      <c r="N84" s="315"/>
      <c r="O84" s="319"/>
      <c r="P84" s="320"/>
      <c r="Q84" s="321"/>
      <c r="R84" s="316"/>
      <c r="S84" s="322"/>
      <c r="T84" s="326"/>
      <c r="V84" s="324"/>
      <c r="W84" s="314"/>
      <c r="X84" s="314"/>
      <c r="Y84" s="314"/>
      <c r="Z84" s="325"/>
      <c r="AA84" s="326"/>
      <c r="AB84" s="327"/>
      <c r="AC84" s="226"/>
    </row>
    <row r="85" spans="1:29" ht="32.4">
      <c r="A85" s="375">
        <f t="shared" si="0"/>
        <v>43</v>
      </c>
      <c r="B85" s="312" t="s">
        <v>264</v>
      </c>
      <c r="C85" s="313" t="s">
        <v>97</v>
      </c>
      <c r="D85" s="330" t="s">
        <v>379</v>
      </c>
      <c r="E85" s="314">
        <v>5</v>
      </c>
      <c r="F85" s="314">
        <v>2</v>
      </c>
      <c r="G85" s="314"/>
      <c r="H85" s="314" t="s">
        <v>424</v>
      </c>
      <c r="I85" s="314" t="s">
        <v>425</v>
      </c>
      <c r="J85" s="315">
        <v>46302</v>
      </c>
      <c r="K85" s="316" t="s">
        <v>340</v>
      </c>
      <c r="L85" s="317"/>
      <c r="M85" s="314"/>
      <c r="N85" s="315"/>
      <c r="O85" s="319"/>
      <c r="P85" s="320"/>
      <c r="Q85" s="321"/>
      <c r="R85" s="316"/>
      <c r="S85" s="322"/>
      <c r="T85" s="326"/>
      <c r="V85" s="324"/>
      <c r="W85" s="314"/>
      <c r="X85" s="314"/>
      <c r="Y85" s="314"/>
      <c r="Z85" s="325"/>
      <c r="AA85" s="326"/>
      <c r="AB85" s="327"/>
      <c r="AC85" s="226"/>
    </row>
    <row r="86" spans="1:29" ht="32.4">
      <c r="A86" s="375">
        <f t="shared" si="0"/>
        <v>44</v>
      </c>
      <c r="B86" s="312" t="s">
        <v>263</v>
      </c>
      <c r="C86" s="313" t="s">
        <v>98</v>
      </c>
      <c r="D86" s="330" t="s">
        <v>379</v>
      </c>
      <c r="E86" s="314">
        <v>6</v>
      </c>
      <c r="F86" s="314">
        <v>1</v>
      </c>
      <c r="G86" s="314"/>
      <c r="H86" s="314" t="s">
        <v>427</v>
      </c>
      <c r="I86" s="314" t="s">
        <v>426</v>
      </c>
      <c r="J86" s="315">
        <v>46302</v>
      </c>
      <c r="K86" s="316" t="s">
        <v>340</v>
      </c>
      <c r="L86" s="317"/>
      <c r="M86" s="314"/>
      <c r="N86" s="315"/>
      <c r="O86" s="319"/>
      <c r="P86" s="320"/>
      <c r="Q86" s="321"/>
      <c r="R86" s="316"/>
      <c r="S86" s="322"/>
      <c r="T86" s="326"/>
      <c r="V86" s="324"/>
      <c r="W86" s="314"/>
      <c r="X86" s="314"/>
      <c r="Y86" s="314"/>
      <c r="Z86" s="325"/>
      <c r="AA86" s="326"/>
      <c r="AB86" s="327"/>
      <c r="AC86" s="226"/>
    </row>
    <row r="87" spans="1:29" ht="32.4">
      <c r="A87" s="375">
        <f t="shared" si="0"/>
        <v>45</v>
      </c>
      <c r="B87" s="312" t="s">
        <v>263</v>
      </c>
      <c r="C87" s="313" t="s">
        <v>97</v>
      </c>
      <c r="D87" s="330" t="s">
        <v>379</v>
      </c>
      <c r="E87" s="314">
        <v>6</v>
      </c>
      <c r="F87" s="314">
        <v>1</v>
      </c>
      <c r="G87" s="314"/>
      <c r="H87" s="314"/>
      <c r="I87" s="314" t="s">
        <v>428</v>
      </c>
      <c r="J87" s="315">
        <v>46302</v>
      </c>
      <c r="K87" s="316" t="s">
        <v>340</v>
      </c>
      <c r="L87" s="317"/>
      <c r="M87" s="314"/>
      <c r="N87" s="315"/>
      <c r="O87" s="319"/>
      <c r="P87" s="320"/>
      <c r="Q87" s="321"/>
      <c r="R87" s="316"/>
      <c r="S87" s="322"/>
      <c r="T87" s="326"/>
      <c r="V87" s="324"/>
      <c r="W87" s="314"/>
      <c r="X87" s="314"/>
      <c r="Y87" s="314"/>
      <c r="Z87" s="325"/>
      <c r="AA87" s="326"/>
      <c r="AB87" s="327"/>
      <c r="AC87" s="226"/>
    </row>
    <row r="88" spans="1:29" ht="32.4">
      <c r="A88" s="375">
        <f t="shared" si="0"/>
        <v>46</v>
      </c>
      <c r="B88" s="312" t="s">
        <v>263</v>
      </c>
      <c r="C88" s="313" t="s">
        <v>98</v>
      </c>
      <c r="D88" s="330" t="s">
        <v>379</v>
      </c>
      <c r="E88" s="314">
        <v>6</v>
      </c>
      <c r="F88" s="314">
        <v>2</v>
      </c>
      <c r="G88" s="314"/>
      <c r="H88" s="314" t="s">
        <v>430</v>
      </c>
      <c r="I88" s="314" t="s">
        <v>429</v>
      </c>
      <c r="J88" s="315">
        <v>46302</v>
      </c>
      <c r="K88" s="316" t="s">
        <v>340</v>
      </c>
      <c r="L88" s="317"/>
      <c r="M88" s="314"/>
      <c r="N88" s="315"/>
      <c r="O88" s="319"/>
      <c r="P88" s="320"/>
      <c r="Q88" s="321"/>
      <c r="R88" s="316"/>
      <c r="S88" s="322"/>
      <c r="T88" s="326"/>
      <c r="V88" s="324"/>
      <c r="W88" s="314"/>
      <c r="X88" s="314"/>
      <c r="Y88" s="314"/>
      <c r="Z88" s="325"/>
      <c r="AA88" s="326"/>
      <c r="AB88" s="327"/>
      <c r="AC88" s="226"/>
    </row>
    <row r="89" spans="1:29" ht="32.4">
      <c r="A89" s="375">
        <f t="shared" si="0"/>
        <v>47</v>
      </c>
      <c r="B89" s="312" t="s">
        <v>265</v>
      </c>
      <c r="C89" s="313"/>
      <c r="D89" s="330" t="s">
        <v>379</v>
      </c>
      <c r="E89" s="314">
        <v>6</v>
      </c>
      <c r="F89" s="314">
        <v>2</v>
      </c>
      <c r="G89" s="314"/>
      <c r="H89" s="314" t="s">
        <v>431</v>
      </c>
      <c r="I89" s="314" t="s">
        <v>432</v>
      </c>
      <c r="J89" s="315">
        <v>46302</v>
      </c>
      <c r="K89" s="316" t="s">
        <v>340</v>
      </c>
      <c r="L89" s="317"/>
      <c r="M89" s="314"/>
      <c r="N89" s="315"/>
      <c r="O89" s="319"/>
      <c r="P89" s="320"/>
      <c r="Q89" s="321"/>
      <c r="R89" s="316"/>
      <c r="S89" s="322"/>
      <c r="T89" s="326"/>
      <c r="V89" s="324"/>
      <c r="W89" s="314"/>
      <c r="X89" s="314"/>
      <c r="Y89" s="314"/>
      <c r="Z89" s="325"/>
      <c r="AA89" s="326"/>
      <c r="AB89" s="327"/>
      <c r="AC89" s="226"/>
    </row>
    <row r="90" spans="1:29" ht="32.4">
      <c r="A90" s="375">
        <f t="shared" si="0"/>
        <v>48</v>
      </c>
      <c r="B90" s="312" t="s">
        <v>263</v>
      </c>
      <c r="C90" s="313" t="s">
        <v>98</v>
      </c>
      <c r="D90" s="330" t="s">
        <v>379</v>
      </c>
      <c r="E90" s="314">
        <v>6</v>
      </c>
      <c r="F90" s="314">
        <v>3</v>
      </c>
      <c r="G90" s="314"/>
      <c r="H90" s="314" t="s">
        <v>433</v>
      </c>
      <c r="I90" s="314" t="s">
        <v>434</v>
      </c>
      <c r="J90" s="315">
        <v>46302</v>
      </c>
      <c r="K90" s="316" t="s">
        <v>340</v>
      </c>
      <c r="L90" s="317"/>
      <c r="M90" s="314"/>
      <c r="N90" s="315"/>
      <c r="O90" s="319"/>
      <c r="P90" s="320"/>
      <c r="Q90" s="321"/>
      <c r="R90" s="316"/>
      <c r="S90" s="322"/>
      <c r="T90" s="326"/>
      <c r="V90" s="324"/>
      <c r="W90" s="314"/>
      <c r="X90" s="314"/>
      <c r="Y90" s="314"/>
      <c r="Z90" s="325"/>
      <c r="AA90" s="326"/>
      <c r="AB90" s="327"/>
      <c r="AC90" s="226"/>
    </row>
    <row r="91" spans="1:29" ht="32.4">
      <c r="A91" s="375">
        <f t="shared" si="0"/>
        <v>49</v>
      </c>
      <c r="B91" s="312" t="s">
        <v>264</v>
      </c>
      <c r="C91" s="313" t="s">
        <v>94</v>
      </c>
      <c r="D91" s="330" t="s">
        <v>379</v>
      </c>
      <c r="E91" s="314">
        <v>6</v>
      </c>
      <c r="F91" s="314">
        <v>3</v>
      </c>
      <c r="G91" s="314"/>
      <c r="H91" s="314" t="s">
        <v>435</v>
      </c>
      <c r="I91" s="314" t="s">
        <v>436</v>
      </c>
      <c r="J91" s="315">
        <v>46302</v>
      </c>
      <c r="K91" s="316" t="s">
        <v>340</v>
      </c>
      <c r="L91" s="317"/>
      <c r="M91" s="314"/>
      <c r="N91" s="315"/>
      <c r="O91" s="319"/>
      <c r="P91" s="320"/>
      <c r="Q91" s="321"/>
      <c r="R91" s="316"/>
      <c r="S91" s="322"/>
      <c r="T91" s="326"/>
      <c r="V91" s="324"/>
      <c r="W91" s="314"/>
      <c r="X91" s="314"/>
      <c r="Y91" s="314"/>
      <c r="Z91" s="325"/>
      <c r="AA91" s="326"/>
      <c r="AB91" s="327"/>
      <c r="AC91" s="226"/>
    </row>
    <row r="92" spans="1:29" ht="32.4">
      <c r="A92" s="375">
        <f t="shared" si="0"/>
        <v>50</v>
      </c>
      <c r="B92" s="312" t="s">
        <v>263</v>
      </c>
      <c r="C92" s="313" t="s">
        <v>100</v>
      </c>
      <c r="D92" s="330" t="s">
        <v>379</v>
      </c>
      <c r="E92" s="314">
        <v>6</v>
      </c>
      <c r="F92" s="314">
        <v>3</v>
      </c>
      <c r="G92" s="314"/>
      <c r="H92" s="314" t="s">
        <v>437</v>
      </c>
      <c r="I92" s="314" t="s">
        <v>438</v>
      </c>
      <c r="J92" s="315">
        <v>46302</v>
      </c>
      <c r="K92" s="316" t="s">
        <v>340</v>
      </c>
      <c r="L92" s="317"/>
      <c r="M92" s="314"/>
      <c r="N92" s="315"/>
      <c r="O92" s="319"/>
      <c r="P92" s="320"/>
      <c r="Q92" s="321"/>
      <c r="R92" s="316"/>
      <c r="S92" s="322"/>
      <c r="T92" s="326"/>
      <c r="V92" s="324"/>
      <c r="W92" s="314"/>
      <c r="X92" s="314"/>
      <c r="Y92" s="314"/>
      <c r="Z92" s="325"/>
      <c r="AA92" s="326"/>
      <c r="AB92" s="327"/>
      <c r="AC92" s="226"/>
    </row>
    <row r="93" spans="1:29" ht="32.4">
      <c r="A93" s="375">
        <f t="shared" si="0"/>
        <v>51</v>
      </c>
      <c r="B93" s="312" t="s">
        <v>265</v>
      </c>
      <c r="C93" s="313"/>
      <c r="D93" s="330" t="s">
        <v>379</v>
      </c>
      <c r="E93" s="314">
        <v>6</v>
      </c>
      <c r="F93" s="314">
        <v>3</v>
      </c>
      <c r="G93" s="314"/>
      <c r="H93" s="314" t="s">
        <v>433</v>
      </c>
      <c r="I93" s="314" t="s">
        <v>439</v>
      </c>
      <c r="J93" s="315">
        <v>46302</v>
      </c>
      <c r="K93" s="316" t="s">
        <v>340</v>
      </c>
      <c r="L93" s="317"/>
      <c r="M93" s="314"/>
      <c r="N93" s="315"/>
      <c r="O93" s="319"/>
      <c r="P93" s="320"/>
      <c r="Q93" s="321"/>
      <c r="R93" s="316"/>
      <c r="S93" s="322"/>
      <c r="T93" s="326"/>
      <c r="V93" s="324"/>
      <c r="W93" s="314"/>
      <c r="X93" s="314"/>
      <c r="Y93" s="314"/>
      <c r="Z93" s="325"/>
      <c r="AA93" s="326"/>
      <c r="AB93" s="327"/>
      <c r="AC93" s="226"/>
    </row>
    <row r="94" spans="1:29" ht="32.4">
      <c r="A94" s="375">
        <f t="shared" si="0"/>
        <v>52</v>
      </c>
      <c r="B94" s="312" t="s">
        <v>264</v>
      </c>
      <c r="C94" s="313" t="s">
        <v>342</v>
      </c>
      <c r="D94" s="330" t="s">
        <v>379</v>
      </c>
      <c r="E94" s="314">
        <v>6</v>
      </c>
      <c r="F94" s="314">
        <v>4</v>
      </c>
      <c r="G94" s="314"/>
      <c r="H94" s="314" t="s">
        <v>440</v>
      </c>
      <c r="I94" s="314" t="s">
        <v>441</v>
      </c>
      <c r="J94" s="315">
        <v>46302</v>
      </c>
      <c r="K94" s="316" t="s">
        <v>340</v>
      </c>
      <c r="L94" s="317"/>
      <c r="M94" s="314"/>
      <c r="N94" s="315"/>
      <c r="O94" s="319"/>
      <c r="P94" s="320"/>
      <c r="Q94" s="321"/>
      <c r="R94" s="316"/>
      <c r="S94" s="322"/>
      <c r="T94" s="326"/>
      <c r="V94" s="324"/>
      <c r="W94" s="314"/>
      <c r="X94" s="314"/>
      <c r="Y94" s="314"/>
      <c r="Z94" s="325"/>
      <c r="AA94" s="326"/>
      <c r="AB94" s="327"/>
      <c r="AC94" s="226"/>
    </row>
    <row r="95" spans="1:29" ht="32.4">
      <c r="A95" s="375">
        <f t="shared" si="0"/>
        <v>53</v>
      </c>
      <c r="B95" s="312" t="s">
        <v>264</v>
      </c>
      <c r="C95" s="313" t="s">
        <v>97</v>
      </c>
      <c r="D95" s="330" t="s">
        <v>379</v>
      </c>
      <c r="E95" s="314">
        <v>8</v>
      </c>
      <c r="F95" s="314">
        <v>2</v>
      </c>
      <c r="G95" s="314"/>
      <c r="H95" s="314" t="s">
        <v>443</v>
      </c>
      <c r="I95" s="314" t="s">
        <v>442</v>
      </c>
      <c r="J95" s="315">
        <v>46303</v>
      </c>
      <c r="K95" s="316" t="s">
        <v>340</v>
      </c>
      <c r="L95" s="317"/>
      <c r="M95" s="314"/>
      <c r="N95" s="315"/>
      <c r="O95" s="319"/>
      <c r="P95" s="320"/>
      <c r="Q95" s="321"/>
      <c r="R95" s="316"/>
      <c r="S95" s="322"/>
      <c r="T95" s="326"/>
      <c r="V95" s="324"/>
      <c r="W95" s="314"/>
      <c r="X95" s="314"/>
      <c r="Y95" s="314"/>
      <c r="Z95" s="325"/>
      <c r="AA95" s="326"/>
      <c r="AB95" s="327"/>
      <c r="AC95" s="226"/>
    </row>
    <row r="96" spans="1:29" ht="32.4">
      <c r="A96" s="375">
        <f t="shared" si="0"/>
        <v>54</v>
      </c>
      <c r="B96" s="312" t="s">
        <v>264</v>
      </c>
      <c r="C96" s="313" t="s">
        <v>97</v>
      </c>
      <c r="D96" s="330" t="s">
        <v>379</v>
      </c>
      <c r="E96" s="314">
        <v>9</v>
      </c>
      <c r="F96" s="314"/>
      <c r="G96" s="314"/>
      <c r="H96" s="314" t="s">
        <v>444</v>
      </c>
      <c r="I96" s="314" t="s">
        <v>445</v>
      </c>
      <c r="J96" s="315">
        <v>46303</v>
      </c>
      <c r="K96" s="316" t="s">
        <v>340</v>
      </c>
      <c r="L96" s="317"/>
      <c r="M96" s="314"/>
      <c r="N96" s="315"/>
      <c r="O96" s="319"/>
      <c r="P96" s="320"/>
      <c r="Q96" s="321"/>
      <c r="R96" s="316"/>
      <c r="S96" s="322"/>
      <c r="T96" s="326"/>
      <c r="V96" s="324"/>
      <c r="W96" s="314"/>
      <c r="X96" s="314"/>
      <c r="Y96" s="314"/>
      <c r="Z96" s="325"/>
      <c r="AA96" s="326"/>
      <c r="AB96" s="327"/>
      <c r="AC96" s="226"/>
    </row>
    <row r="97" spans="1:29" ht="32.4">
      <c r="A97" s="375">
        <f t="shared" si="0"/>
        <v>55</v>
      </c>
      <c r="B97" s="312" t="s">
        <v>264</v>
      </c>
      <c r="C97" s="313" t="s">
        <v>97</v>
      </c>
      <c r="D97" s="330" t="s">
        <v>379</v>
      </c>
      <c r="E97" s="314">
        <v>9</v>
      </c>
      <c r="F97" s="314">
        <v>2</v>
      </c>
      <c r="G97" s="314"/>
      <c r="H97" s="314" t="s">
        <v>446</v>
      </c>
      <c r="I97" s="314" t="s">
        <v>447</v>
      </c>
      <c r="J97" s="315">
        <v>46303</v>
      </c>
      <c r="K97" s="316" t="s">
        <v>340</v>
      </c>
      <c r="L97" s="317"/>
      <c r="M97" s="314"/>
      <c r="N97" s="315"/>
      <c r="O97" s="319"/>
      <c r="P97" s="320"/>
      <c r="Q97" s="321"/>
      <c r="R97" s="316"/>
      <c r="S97" s="322"/>
      <c r="T97" s="326"/>
      <c r="V97" s="324"/>
      <c r="W97" s="314"/>
      <c r="X97" s="314"/>
      <c r="Y97" s="314"/>
      <c r="Z97" s="325"/>
      <c r="AA97" s="326"/>
      <c r="AB97" s="327"/>
      <c r="AC97" s="226"/>
    </row>
    <row r="98" spans="1:29" ht="32.4">
      <c r="A98" s="375">
        <f t="shared" si="0"/>
        <v>56</v>
      </c>
      <c r="B98" s="312" t="s">
        <v>263</v>
      </c>
      <c r="C98" s="313" t="s">
        <v>98</v>
      </c>
      <c r="D98" s="330" t="s">
        <v>379</v>
      </c>
      <c r="E98" s="314">
        <v>10</v>
      </c>
      <c r="F98" s="314">
        <v>1</v>
      </c>
      <c r="G98" s="314"/>
      <c r="H98" s="314" t="s">
        <v>448</v>
      </c>
      <c r="I98" s="314" t="s">
        <v>449</v>
      </c>
      <c r="J98" s="315">
        <v>46303</v>
      </c>
      <c r="K98" s="316" t="s">
        <v>340</v>
      </c>
      <c r="L98" s="317"/>
      <c r="M98" s="314"/>
      <c r="N98" s="315"/>
      <c r="O98" s="319"/>
      <c r="P98" s="320"/>
      <c r="Q98" s="321"/>
      <c r="R98" s="316"/>
      <c r="S98" s="322"/>
      <c r="T98" s="326"/>
      <c r="V98" s="324"/>
      <c r="W98" s="314"/>
      <c r="X98" s="314"/>
      <c r="Y98" s="314"/>
      <c r="Z98" s="325"/>
      <c r="AA98" s="326"/>
      <c r="AB98" s="327"/>
      <c r="AC98" s="226"/>
    </row>
    <row r="99" spans="1:29" ht="43.2">
      <c r="A99" s="375">
        <f t="shared" si="0"/>
        <v>57</v>
      </c>
      <c r="B99" s="312" t="s">
        <v>264</v>
      </c>
      <c r="C99" s="313" t="s">
        <v>97</v>
      </c>
      <c r="D99" s="330" t="s">
        <v>379</v>
      </c>
      <c r="E99" s="314">
        <v>11</v>
      </c>
      <c r="F99" s="314">
        <v>1</v>
      </c>
      <c r="G99" s="314"/>
      <c r="H99" s="314" t="s">
        <v>450</v>
      </c>
      <c r="I99" s="314" t="s">
        <v>451</v>
      </c>
      <c r="J99" s="315">
        <v>46303</v>
      </c>
      <c r="K99" s="316" t="s">
        <v>340</v>
      </c>
      <c r="L99" s="317"/>
      <c r="M99" s="314"/>
      <c r="N99" s="315"/>
      <c r="O99" s="319"/>
      <c r="P99" s="320"/>
      <c r="Q99" s="321"/>
      <c r="R99" s="316"/>
      <c r="S99" s="322"/>
      <c r="T99" s="326"/>
      <c r="V99" s="324"/>
      <c r="W99" s="314"/>
      <c r="X99" s="314"/>
      <c r="Y99" s="314"/>
      <c r="Z99" s="325"/>
      <c r="AA99" s="326"/>
      <c r="AB99" s="327"/>
      <c r="AC99" s="226"/>
    </row>
    <row r="100" spans="1:29" ht="32.4">
      <c r="A100" s="375">
        <f t="shared" si="0"/>
        <v>58</v>
      </c>
      <c r="B100" s="312" t="s">
        <v>264</v>
      </c>
      <c r="C100" s="313" t="s">
        <v>98</v>
      </c>
      <c r="D100" s="330" t="s">
        <v>379</v>
      </c>
      <c r="E100" s="314">
        <v>11</v>
      </c>
      <c r="F100" s="314">
        <v>1</v>
      </c>
      <c r="G100" s="314"/>
      <c r="H100" s="314" t="s">
        <v>452</v>
      </c>
      <c r="I100" s="314" t="s">
        <v>454</v>
      </c>
      <c r="J100" s="315">
        <v>46303</v>
      </c>
      <c r="K100" s="316" t="s">
        <v>340</v>
      </c>
      <c r="L100" s="317"/>
      <c r="M100" s="314"/>
      <c r="N100" s="315"/>
      <c r="O100" s="319"/>
      <c r="P100" s="320"/>
      <c r="Q100" s="321"/>
      <c r="R100" s="316"/>
      <c r="S100" s="322"/>
      <c r="T100" s="326"/>
      <c r="V100" s="324"/>
      <c r="W100" s="314"/>
      <c r="X100" s="314"/>
      <c r="Y100" s="314"/>
      <c r="Z100" s="325"/>
      <c r="AA100" s="326"/>
      <c r="AB100" s="327"/>
      <c r="AC100" s="226"/>
    </row>
    <row r="101" spans="1:29" ht="32.4">
      <c r="A101" s="375">
        <f t="shared" si="0"/>
        <v>59</v>
      </c>
      <c r="B101" s="312" t="s">
        <v>264</v>
      </c>
      <c r="C101" s="313" t="s">
        <v>98</v>
      </c>
      <c r="D101" s="330" t="s">
        <v>379</v>
      </c>
      <c r="E101" s="314">
        <v>11</v>
      </c>
      <c r="F101" s="314">
        <v>1</v>
      </c>
      <c r="G101" s="314"/>
      <c r="H101" s="314" t="s">
        <v>452</v>
      </c>
      <c r="I101" s="314" t="s">
        <v>453</v>
      </c>
      <c r="J101" s="315">
        <v>46303</v>
      </c>
      <c r="K101" s="316" t="s">
        <v>340</v>
      </c>
      <c r="L101" s="317"/>
      <c r="M101" s="314"/>
      <c r="N101" s="315"/>
      <c r="O101" s="319"/>
      <c r="P101" s="320"/>
      <c r="Q101" s="321"/>
      <c r="R101" s="316"/>
      <c r="S101" s="322"/>
      <c r="T101" s="326"/>
      <c r="V101" s="324"/>
      <c r="W101" s="314"/>
      <c r="X101" s="314"/>
      <c r="Y101" s="314"/>
      <c r="Z101" s="325"/>
      <c r="AA101" s="326"/>
      <c r="AB101" s="327"/>
      <c r="AC101" s="226"/>
    </row>
    <row r="102" spans="1:29" ht="43.2">
      <c r="A102" s="375">
        <f t="shared" si="0"/>
        <v>60</v>
      </c>
      <c r="B102" s="312" t="s">
        <v>264</v>
      </c>
      <c r="C102" s="313" t="s">
        <v>98</v>
      </c>
      <c r="D102" s="330" t="s">
        <v>379</v>
      </c>
      <c r="E102" s="314">
        <v>11</v>
      </c>
      <c r="F102" s="314">
        <v>1</v>
      </c>
      <c r="G102" s="314"/>
      <c r="H102" s="314" t="s">
        <v>452</v>
      </c>
      <c r="I102" s="314" t="s">
        <v>455</v>
      </c>
      <c r="J102" s="315">
        <v>46303</v>
      </c>
      <c r="K102" s="316" t="s">
        <v>340</v>
      </c>
      <c r="L102" s="317"/>
      <c r="M102" s="314"/>
      <c r="N102" s="315"/>
      <c r="O102" s="319"/>
      <c r="P102" s="320"/>
      <c r="Q102" s="321"/>
      <c r="R102" s="316"/>
      <c r="S102" s="322"/>
      <c r="T102" s="326"/>
      <c r="V102" s="324"/>
      <c r="W102" s="314"/>
      <c r="X102" s="314"/>
      <c r="Y102" s="314"/>
      <c r="Z102" s="325"/>
      <c r="AA102" s="326"/>
      <c r="AB102" s="327"/>
      <c r="AC102" s="226"/>
    </row>
    <row r="103" spans="1:29" ht="32.4">
      <c r="A103" s="375">
        <f t="shared" si="0"/>
        <v>61</v>
      </c>
      <c r="B103" s="312" t="s">
        <v>265</v>
      </c>
      <c r="C103" s="313"/>
      <c r="D103" s="330" t="s">
        <v>379</v>
      </c>
      <c r="E103" s="314">
        <v>11</v>
      </c>
      <c r="F103" s="314">
        <v>1</v>
      </c>
      <c r="G103" s="314"/>
      <c r="H103" s="314" t="s">
        <v>452</v>
      </c>
      <c r="I103" s="314" t="s">
        <v>456</v>
      </c>
      <c r="J103" s="315">
        <v>46303</v>
      </c>
      <c r="K103" s="316" t="s">
        <v>340</v>
      </c>
      <c r="L103" s="317"/>
      <c r="M103" s="314"/>
      <c r="N103" s="315"/>
      <c r="O103" s="319"/>
      <c r="P103" s="320"/>
      <c r="Q103" s="321"/>
      <c r="R103" s="316"/>
      <c r="S103" s="322"/>
      <c r="T103" s="326"/>
      <c r="V103" s="324"/>
      <c r="W103" s="314"/>
      <c r="X103" s="314"/>
      <c r="Y103" s="314"/>
      <c r="Z103" s="325"/>
      <c r="AA103" s="326"/>
      <c r="AB103" s="327"/>
      <c r="AC103" s="226"/>
    </row>
    <row r="104" spans="1:29" ht="32.4">
      <c r="A104" s="375">
        <f t="shared" si="0"/>
        <v>62</v>
      </c>
      <c r="B104" s="312" t="s">
        <v>265</v>
      </c>
      <c r="C104" s="313"/>
      <c r="D104" s="330" t="s">
        <v>379</v>
      </c>
      <c r="E104" s="314">
        <v>11</v>
      </c>
      <c r="F104" s="314">
        <v>1</v>
      </c>
      <c r="G104" s="314"/>
      <c r="H104" s="314" t="s">
        <v>452</v>
      </c>
      <c r="I104" s="314" t="s">
        <v>457</v>
      </c>
      <c r="J104" s="315">
        <v>46303</v>
      </c>
      <c r="K104" s="316" t="s">
        <v>340</v>
      </c>
      <c r="L104" s="317"/>
      <c r="M104" s="314"/>
      <c r="N104" s="315"/>
      <c r="O104" s="319"/>
      <c r="P104" s="320"/>
      <c r="Q104" s="321"/>
      <c r="R104" s="316"/>
      <c r="S104" s="322"/>
      <c r="T104" s="326"/>
      <c r="V104" s="324"/>
      <c r="W104" s="314"/>
      <c r="X104" s="314"/>
      <c r="Y104" s="314"/>
      <c r="Z104" s="325"/>
      <c r="AA104" s="326"/>
      <c r="AB104" s="327"/>
      <c r="AC104" s="226"/>
    </row>
    <row r="105" spans="1:29" ht="32.4">
      <c r="A105" s="375">
        <f t="shared" si="0"/>
        <v>63</v>
      </c>
      <c r="B105" s="312" t="s">
        <v>265</v>
      </c>
      <c r="C105" s="313"/>
      <c r="D105" s="330" t="s">
        <v>379</v>
      </c>
      <c r="E105" s="314">
        <v>11</v>
      </c>
      <c r="F105" s="314">
        <v>1</v>
      </c>
      <c r="G105" s="314"/>
      <c r="H105" s="314" t="s">
        <v>458</v>
      </c>
      <c r="I105" s="314" t="s">
        <v>459</v>
      </c>
      <c r="J105" s="315">
        <v>46303</v>
      </c>
      <c r="K105" s="316" t="s">
        <v>340</v>
      </c>
      <c r="L105" s="317"/>
      <c r="M105" s="314"/>
      <c r="N105" s="315"/>
      <c r="O105" s="319"/>
      <c r="P105" s="320"/>
      <c r="Q105" s="321"/>
      <c r="R105" s="316"/>
      <c r="S105" s="322"/>
      <c r="T105" s="326"/>
      <c r="V105" s="324"/>
      <c r="W105" s="314"/>
      <c r="X105" s="314"/>
      <c r="Y105" s="314"/>
      <c r="Z105" s="325"/>
      <c r="AA105" s="326"/>
      <c r="AB105" s="327"/>
      <c r="AC105" s="226"/>
    </row>
    <row r="106" spans="1:29" ht="32.4">
      <c r="A106" s="375">
        <f t="shared" si="0"/>
        <v>64</v>
      </c>
      <c r="B106" s="312" t="s">
        <v>264</v>
      </c>
      <c r="C106" s="313" t="s">
        <v>98</v>
      </c>
      <c r="D106" s="330" t="s">
        <v>379</v>
      </c>
      <c r="E106" s="314">
        <v>11</v>
      </c>
      <c r="F106" s="314">
        <v>1</v>
      </c>
      <c r="G106" s="314"/>
      <c r="H106" s="314" t="s">
        <v>458</v>
      </c>
      <c r="I106" s="314" t="s">
        <v>454</v>
      </c>
      <c r="J106" s="315">
        <v>46303</v>
      </c>
      <c r="K106" s="316" t="s">
        <v>340</v>
      </c>
      <c r="L106" s="317"/>
      <c r="M106" s="314"/>
      <c r="N106" s="315"/>
      <c r="O106" s="319"/>
      <c r="P106" s="320"/>
      <c r="Q106" s="321"/>
      <c r="R106" s="316"/>
      <c r="S106" s="322"/>
      <c r="T106" s="326"/>
      <c r="V106" s="324"/>
      <c r="W106" s="314"/>
      <c r="X106" s="314"/>
      <c r="Y106" s="314"/>
      <c r="Z106" s="325"/>
      <c r="AA106" s="326"/>
      <c r="AB106" s="327"/>
      <c r="AC106" s="226"/>
    </row>
    <row r="107" spans="1:29" ht="32.4">
      <c r="A107" s="375">
        <f t="shared" si="0"/>
        <v>65</v>
      </c>
      <c r="B107" s="312" t="s">
        <v>264</v>
      </c>
      <c r="C107" s="313" t="s">
        <v>98</v>
      </c>
      <c r="D107" s="330" t="s">
        <v>379</v>
      </c>
      <c r="E107" s="314">
        <v>11</v>
      </c>
      <c r="F107" s="314">
        <v>1</v>
      </c>
      <c r="G107" s="314"/>
      <c r="H107" s="314" t="s">
        <v>458</v>
      </c>
      <c r="I107" s="314" t="s">
        <v>453</v>
      </c>
      <c r="J107" s="315">
        <v>46303</v>
      </c>
      <c r="K107" s="316" t="s">
        <v>340</v>
      </c>
      <c r="L107" s="317"/>
      <c r="M107" s="314"/>
      <c r="N107" s="315"/>
      <c r="O107" s="319"/>
      <c r="P107" s="320"/>
      <c r="Q107" s="321"/>
      <c r="R107" s="316"/>
      <c r="S107" s="322"/>
      <c r="T107" s="326"/>
      <c r="V107" s="324"/>
      <c r="W107" s="314"/>
      <c r="X107" s="314"/>
      <c r="Y107" s="314"/>
      <c r="Z107" s="325"/>
      <c r="AA107" s="326"/>
      <c r="AB107" s="327"/>
      <c r="AC107" s="226"/>
    </row>
    <row r="108" spans="1:29" ht="32.4">
      <c r="A108" s="375">
        <f t="shared" si="0"/>
        <v>66</v>
      </c>
      <c r="B108" s="312" t="s">
        <v>264</v>
      </c>
      <c r="C108" s="313" t="s">
        <v>98</v>
      </c>
      <c r="D108" s="330" t="s">
        <v>379</v>
      </c>
      <c r="E108" s="314">
        <v>11</v>
      </c>
      <c r="F108" s="314">
        <v>1</v>
      </c>
      <c r="G108" s="314"/>
      <c r="H108" s="314" t="s">
        <v>458</v>
      </c>
      <c r="I108" s="314" t="s">
        <v>460</v>
      </c>
      <c r="J108" s="315">
        <v>46303</v>
      </c>
      <c r="K108" s="316" t="s">
        <v>340</v>
      </c>
      <c r="L108" s="317"/>
      <c r="M108" s="314"/>
      <c r="N108" s="315"/>
      <c r="O108" s="319"/>
      <c r="P108" s="320"/>
      <c r="Q108" s="321"/>
      <c r="R108" s="316"/>
      <c r="S108" s="322"/>
      <c r="T108" s="326"/>
      <c r="V108" s="324"/>
      <c r="W108" s="314"/>
      <c r="X108" s="314"/>
      <c r="Y108" s="314"/>
      <c r="Z108" s="325"/>
      <c r="AA108" s="326"/>
      <c r="AB108" s="327"/>
      <c r="AC108" s="226"/>
    </row>
    <row r="109" spans="1:29" ht="43.2">
      <c r="A109" s="375">
        <f t="shared" si="0"/>
        <v>67</v>
      </c>
      <c r="B109" s="312" t="s">
        <v>264</v>
      </c>
      <c r="C109" s="313" t="s">
        <v>98</v>
      </c>
      <c r="D109" s="330" t="s">
        <v>379</v>
      </c>
      <c r="E109" s="314">
        <v>11</v>
      </c>
      <c r="F109" s="314">
        <v>1</v>
      </c>
      <c r="G109" s="314"/>
      <c r="H109" s="314" t="s">
        <v>458</v>
      </c>
      <c r="I109" s="314" t="s">
        <v>455</v>
      </c>
      <c r="J109" s="315">
        <v>46303</v>
      </c>
      <c r="K109" s="316" t="s">
        <v>340</v>
      </c>
      <c r="L109" s="317"/>
      <c r="M109" s="314"/>
      <c r="N109" s="315"/>
      <c r="O109" s="319"/>
      <c r="P109" s="320"/>
      <c r="Q109" s="321"/>
      <c r="R109" s="316"/>
      <c r="S109" s="322"/>
      <c r="T109" s="326"/>
      <c r="V109" s="324"/>
      <c r="W109" s="314"/>
      <c r="X109" s="314"/>
      <c r="Y109" s="314"/>
      <c r="Z109" s="325"/>
      <c r="AA109" s="326"/>
      <c r="AB109" s="327"/>
      <c r="AC109" s="226"/>
    </row>
    <row r="110" spans="1:29" ht="32.4">
      <c r="A110" s="375">
        <f t="shared" si="0"/>
        <v>68</v>
      </c>
      <c r="B110" s="312" t="s">
        <v>264</v>
      </c>
      <c r="C110" s="313" t="s">
        <v>98</v>
      </c>
      <c r="D110" s="330" t="s">
        <v>379</v>
      </c>
      <c r="E110" s="314">
        <v>11</v>
      </c>
      <c r="F110" s="314">
        <v>1</v>
      </c>
      <c r="G110" s="314"/>
      <c r="H110" s="314" t="s">
        <v>458</v>
      </c>
      <c r="I110" s="314" t="s">
        <v>456</v>
      </c>
      <c r="J110" s="315">
        <v>46303</v>
      </c>
      <c r="K110" s="316" t="s">
        <v>340</v>
      </c>
      <c r="L110" s="317"/>
      <c r="M110" s="314"/>
      <c r="N110" s="315"/>
      <c r="O110" s="319"/>
      <c r="P110" s="320"/>
      <c r="Q110" s="321"/>
      <c r="R110" s="316"/>
      <c r="S110" s="322"/>
      <c r="T110" s="326"/>
      <c r="V110" s="324"/>
      <c r="W110" s="314"/>
      <c r="X110" s="314"/>
      <c r="Y110" s="314"/>
      <c r="Z110" s="325"/>
      <c r="AA110" s="326"/>
      <c r="AB110" s="327"/>
      <c r="AC110" s="226"/>
    </row>
    <row r="111" spans="1:29" ht="32.4">
      <c r="A111" s="375">
        <f t="shared" si="0"/>
        <v>69</v>
      </c>
      <c r="B111" s="312" t="s">
        <v>264</v>
      </c>
      <c r="C111" s="313" t="s">
        <v>98</v>
      </c>
      <c r="D111" s="330" t="s">
        <v>379</v>
      </c>
      <c r="E111" s="314">
        <v>11</v>
      </c>
      <c r="F111" s="314">
        <v>1</v>
      </c>
      <c r="G111" s="314"/>
      <c r="H111" s="314" t="s">
        <v>458</v>
      </c>
      <c r="I111" s="314" t="s">
        <v>457</v>
      </c>
      <c r="J111" s="315">
        <v>46303</v>
      </c>
      <c r="K111" s="316" t="s">
        <v>340</v>
      </c>
      <c r="L111" s="317"/>
      <c r="M111" s="314"/>
      <c r="N111" s="315"/>
      <c r="O111" s="319"/>
      <c r="P111" s="320"/>
      <c r="Q111" s="321"/>
      <c r="R111" s="316"/>
      <c r="S111" s="322"/>
      <c r="T111" s="326"/>
      <c r="V111" s="324"/>
      <c r="W111" s="314"/>
      <c r="X111" s="314"/>
      <c r="Y111" s="314"/>
      <c r="Z111" s="325"/>
      <c r="AA111" s="326"/>
      <c r="AB111" s="327"/>
      <c r="AC111" s="226"/>
    </row>
    <row r="112" spans="1:29" ht="32.4">
      <c r="A112" s="375">
        <f t="shared" si="0"/>
        <v>70</v>
      </c>
      <c r="B112" s="312" t="s">
        <v>265</v>
      </c>
      <c r="C112" s="313"/>
      <c r="D112" s="330" t="s">
        <v>379</v>
      </c>
      <c r="E112" s="314">
        <v>11</v>
      </c>
      <c r="F112" s="314">
        <v>1</v>
      </c>
      <c r="G112" s="314">
        <v>2</v>
      </c>
      <c r="H112" s="314" t="s">
        <v>461</v>
      </c>
      <c r="I112" s="314" t="s">
        <v>462</v>
      </c>
      <c r="J112" s="315">
        <v>46303</v>
      </c>
      <c r="K112" s="316" t="s">
        <v>340</v>
      </c>
      <c r="L112" s="317"/>
      <c r="M112" s="314"/>
      <c r="N112" s="315"/>
      <c r="O112" s="319"/>
      <c r="P112" s="320"/>
      <c r="Q112" s="321"/>
      <c r="R112" s="316"/>
      <c r="S112" s="322"/>
      <c r="T112" s="326"/>
      <c r="V112" s="324"/>
      <c r="W112" s="314"/>
      <c r="X112" s="314"/>
      <c r="Y112" s="314"/>
      <c r="Z112" s="325"/>
      <c r="AA112" s="326"/>
      <c r="AB112" s="327"/>
      <c r="AC112" s="226"/>
    </row>
    <row r="113" spans="1:29" ht="54">
      <c r="A113" s="375">
        <f t="shared" si="0"/>
        <v>71</v>
      </c>
      <c r="B113" s="312" t="s">
        <v>264</v>
      </c>
      <c r="C113" s="313" t="s">
        <v>94</v>
      </c>
      <c r="D113" s="330" t="s">
        <v>379</v>
      </c>
      <c r="E113" s="314">
        <v>3</v>
      </c>
      <c r="F113" s="314">
        <v>3</v>
      </c>
      <c r="G113" s="314"/>
      <c r="H113" s="314" t="s">
        <v>463</v>
      </c>
      <c r="I113" s="314" t="s">
        <v>464</v>
      </c>
      <c r="J113" s="315">
        <v>46303</v>
      </c>
      <c r="K113" s="316" t="s">
        <v>340</v>
      </c>
      <c r="L113" s="317"/>
      <c r="M113" s="314"/>
      <c r="N113" s="315"/>
      <c r="O113" s="319"/>
      <c r="P113" s="320"/>
      <c r="Q113" s="321"/>
      <c r="R113" s="316"/>
      <c r="S113" s="322"/>
      <c r="T113" s="326"/>
      <c r="V113" s="324"/>
      <c r="W113" s="314"/>
      <c r="X113" s="314"/>
      <c r="Y113" s="314"/>
      <c r="Z113" s="325"/>
      <c r="AA113" s="326"/>
      <c r="AB113" s="327"/>
      <c r="AC113" s="226"/>
    </row>
    <row r="114" spans="1:29" ht="32.4">
      <c r="A114" s="375">
        <f t="shared" si="0"/>
        <v>72</v>
      </c>
      <c r="B114" s="312" t="s">
        <v>264</v>
      </c>
      <c r="C114" s="313" t="s">
        <v>97</v>
      </c>
      <c r="D114" s="330" t="s">
        <v>379</v>
      </c>
      <c r="E114" s="314">
        <v>12</v>
      </c>
      <c r="F114" s="314">
        <v>3</v>
      </c>
      <c r="G114" s="314">
        <v>1</v>
      </c>
      <c r="H114" s="314" t="s">
        <v>465</v>
      </c>
      <c r="I114" s="314" t="s">
        <v>466</v>
      </c>
      <c r="J114" s="315">
        <v>46303</v>
      </c>
      <c r="K114" s="316" t="s">
        <v>340</v>
      </c>
      <c r="L114" s="317"/>
      <c r="M114" s="314"/>
      <c r="N114" s="315"/>
      <c r="O114" s="319"/>
      <c r="P114" s="320"/>
      <c r="Q114" s="321"/>
      <c r="R114" s="316"/>
      <c r="S114" s="322"/>
      <c r="T114" s="326"/>
      <c r="V114" s="324"/>
      <c r="W114" s="314"/>
      <c r="X114" s="314"/>
      <c r="Y114" s="314"/>
      <c r="Z114" s="325"/>
      <c r="AA114" s="326"/>
      <c r="AB114" s="327"/>
      <c r="AC114" s="226"/>
    </row>
    <row r="115" spans="1:29" ht="32.4">
      <c r="A115" s="375">
        <f t="shared" si="0"/>
        <v>73</v>
      </c>
      <c r="B115" s="312" t="s">
        <v>264</v>
      </c>
      <c r="C115" s="313" t="s">
        <v>97</v>
      </c>
      <c r="D115" s="330" t="s">
        <v>379</v>
      </c>
      <c r="E115" s="314">
        <v>12</v>
      </c>
      <c r="F115" s="314">
        <v>3</v>
      </c>
      <c r="G115" s="314">
        <v>4</v>
      </c>
      <c r="H115" s="314" t="s">
        <v>468</v>
      </c>
      <c r="I115" s="314" t="s">
        <v>467</v>
      </c>
      <c r="J115" s="315">
        <v>46303</v>
      </c>
      <c r="K115" s="316" t="s">
        <v>340</v>
      </c>
      <c r="L115" s="317"/>
      <c r="M115" s="314"/>
      <c r="N115" s="315"/>
      <c r="O115" s="319"/>
      <c r="P115" s="320"/>
      <c r="Q115" s="321"/>
      <c r="R115" s="316"/>
      <c r="S115" s="322"/>
      <c r="T115" s="326"/>
      <c r="V115" s="324"/>
      <c r="W115" s="314"/>
      <c r="X115" s="314"/>
      <c r="Y115" s="314"/>
      <c r="Z115" s="325"/>
      <c r="AA115" s="326"/>
      <c r="AB115" s="327"/>
      <c r="AC115" s="226"/>
    </row>
    <row r="116" spans="1:29" ht="32.4">
      <c r="A116" s="375">
        <f t="shared" si="0"/>
        <v>74</v>
      </c>
      <c r="B116" s="312" t="s">
        <v>263</v>
      </c>
      <c r="C116" s="313" t="s">
        <v>94</v>
      </c>
      <c r="D116" s="330" t="s">
        <v>379</v>
      </c>
      <c r="E116" s="314">
        <v>13</v>
      </c>
      <c r="F116" s="314">
        <v>1</v>
      </c>
      <c r="G116" s="314"/>
      <c r="H116" s="314" t="s">
        <v>469</v>
      </c>
      <c r="I116" s="314" t="s">
        <v>471</v>
      </c>
      <c r="J116" s="315">
        <v>46303</v>
      </c>
      <c r="K116" s="316" t="s">
        <v>340</v>
      </c>
      <c r="L116" s="317"/>
      <c r="M116" s="314"/>
      <c r="N116" s="315"/>
      <c r="O116" s="319"/>
      <c r="P116" s="320"/>
      <c r="Q116" s="321"/>
      <c r="R116" s="316"/>
      <c r="S116" s="322"/>
      <c r="T116" s="326"/>
      <c r="V116" s="324"/>
      <c r="W116" s="314"/>
      <c r="X116" s="314"/>
      <c r="Y116" s="314"/>
      <c r="Z116" s="325"/>
      <c r="AA116" s="326"/>
      <c r="AB116" s="327"/>
      <c r="AC116" s="226"/>
    </row>
    <row r="117" spans="1:29" ht="32.4">
      <c r="A117" s="375">
        <f t="shared" si="0"/>
        <v>75</v>
      </c>
      <c r="B117" s="312" t="s">
        <v>263</v>
      </c>
      <c r="C117" s="313" t="s">
        <v>94</v>
      </c>
      <c r="D117" s="330" t="s">
        <v>379</v>
      </c>
      <c r="E117" s="314">
        <v>13</v>
      </c>
      <c r="F117" s="314">
        <v>1</v>
      </c>
      <c r="G117" s="314"/>
      <c r="H117" s="314" t="s">
        <v>469</v>
      </c>
      <c r="I117" s="314" t="s">
        <v>470</v>
      </c>
      <c r="J117" s="315">
        <v>46303</v>
      </c>
      <c r="K117" s="316" t="s">
        <v>340</v>
      </c>
      <c r="L117" s="317"/>
      <c r="M117" s="314"/>
      <c r="N117" s="315"/>
      <c r="O117" s="319"/>
      <c r="P117" s="320"/>
      <c r="Q117" s="321"/>
      <c r="R117" s="316"/>
      <c r="S117" s="322"/>
      <c r="T117" s="326"/>
      <c r="V117" s="324"/>
      <c r="W117" s="314"/>
      <c r="X117" s="314"/>
      <c r="Y117" s="314"/>
      <c r="Z117" s="325"/>
      <c r="AA117" s="326"/>
      <c r="AB117" s="327"/>
      <c r="AC117" s="226"/>
    </row>
    <row r="118" spans="1:29" ht="32.4">
      <c r="A118" s="375">
        <f t="shared" si="0"/>
        <v>76</v>
      </c>
      <c r="B118" s="312" t="s">
        <v>263</v>
      </c>
      <c r="C118" s="313" t="s">
        <v>97</v>
      </c>
      <c r="D118" s="330" t="s">
        <v>379</v>
      </c>
      <c r="E118" s="314">
        <v>13</v>
      </c>
      <c r="F118" s="314">
        <v>2</v>
      </c>
      <c r="G118" s="314"/>
      <c r="H118" s="314" t="s">
        <v>472</v>
      </c>
      <c r="I118" s="314" t="s">
        <v>473</v>
      </c>
      <c r="J118" s="315">
        <v>46303</v>
      </c>
      <c r="K118" s="316" t="s">
        <v>340</v>
      </c>
      <c r="L118" s="317"/>
      <c r="M118" s="314"/>
      <c r="N118" s="315"/>
      <c r="O118" s="319"/>
      <c r="P118" s="320"/>
      <c r="Q118" s="321"/>
      <c r="R118" s="316"/>
      <c r="S118" s="322"/>
      <c r="T118" s="326"/>
      <c r="V118" s="324"/>
      <c r="W118" s="314"/>
      <c r="X118" s="314"/>
      <c r="Y118" s="314"/>
      <c r="Z118" s="325"/>
      <c r="AA118" s="326"/>
      <c r="AB118" s="327"/>
      <c r="AC118" s="226"/>
    </row>
    <row r="119" spans="1:29">
      <c r="A119" s="375">
        <f t="shared" si="0"/>
        <v>77</v>
      </c>
      <c r="B119" s="312"/>
      <c r="C119" s="313"/>
      <c r="D119" s="330"/>
      <c r="E119" s="314"/>
      <c r="F119" s="314"/>
      <c r="G119" s="314"/>
      <c r="H119" s="314"/>
      <c r="I119" s="314"/>
      <c r="J119" s="315"/>
      <c r="K119" s="316"/>
      <c r="L119" s="317"/>
      <c r="M119" s="314"/>
      <c r="N119" s="315"/>
      <c r="O119" s="319"/>
      <c r="P119" s="320"/>
      <c r="Q119" s="321"/>
      <c r="R119" s="316"/>
      <c r="S119" s="322"/>
      <c r="T119" s="326"/>
      <c r="V119" s="324"/>
      <c r="W119" s="314"/>
      <c r="X119" s="314"/>
      <c r="Y119" s="314"/>
      <c r="Z119" s="325"/>
      <c r="AA119" s="326"/>
      <c r="AB119" s="327"/>
      <c r="AC119" s="226"/>
    </row>
    <row r="120" spans="1:29">
      <c r="A120" s="375">
        <f t="shared" si="0"/>
        <v>78</v>
      </c>
      <c r="B120" s="312"/>
      <c r="C120" s="313"/>
      <c r="D120" s="330"/>
      <c r="E120" s="314"/>
      <c r="F120" s="314"/>
      <c r="G120" s="314"/>
      <c r="H120" s="314"/>
      <c r="I120" s="314"/>
      <c r="J120" s="315"/>
      <c r="K120" s="316"/>
      <c r="L120" s="317"/>
      <c r="M120" s="314"/>
      <c r="N120" s="315"/>
      <c r="O120" s="319"/>
      <c r="P120" s="320"/>
      <c r="Q120" s="321"/>
      <c r="R120" s="316"/>
      <c r="S120" s="322"/>
      <c r="T120" s="326"/>
      <c r="V120" s="324"/>
      <c r="W120" s="314"/>
      <c r="X120" s="314"/>
      <c r="Y120" s="314"/>
      <c r="Z120" s="325"/>
      <c r="AA120" s="326"/>
      <c r="AB120" s="327"/>
      <c r="AC120" s="226"/>
    </row>
    <row r="121" spans="1:29">
      <c r="A121" s="375">
        <f t="shared" si="0"/>
        <v>79</v>
      </c>
      <c r="B121" s="312"/>
      <c r="C121" s="313"/>
      <c r="D121" s="330"/>
      <c r="E121" s="314"/>
      <c r="F121" s="314"/>
      <c r="G121" s="314"/>
      <c r="H121" s="314"/>
      <c r="I121" s="314"/>
      <c r="J121" s="315"/>
      <c r="K121" s="316"/>
      <c r="L121" s="317"/>
      <c r="M121" s="314"/>
      <c r="N121" s="315"/>
      <c r="O121" s="319"/>
      <c r="P121" s="320"/>
      <c r="Q121" s="321"/>
      <c r="R121" s="316"/>
      <c r="S121" s="322"/>
      <c r="T121" s="326"/>
      <c r="V121" s="324"/>
      <c r="W121" s="314"/>
      <c r="X121" s="314"/>
      <c r="Y121" s="314"/>
      <c r="Z121" s="325"/>
      <c r="AA121" s="326"/>
      <c r="AB121" s="327"/>
      <c r="AC121" s="226"/>
    </row>
    <row r="122" spans="1:29">
      <c r="A122" s="375">
        <f t="shared" si="0"/>
        <v>80</v>
      </c>
      <c r="B122" s="312"/>
      <c r="C122" s="313"/>
      <c r="D122" s="330"/>
      <c r="E122" s="314"/>
      <c r="F122" s="314"/>
      <c r="G122" s="314"/>
      <c r="H122" s="314"/>
      <c r="I122" s="314"/>
      <c r="J122" s="315"/>
      <c r="K122" s="316"/>
      <c r="L122" s="317"/>
      <c r="M122" s="314"/>
      <c r="N122" s="315"/>
      <c r="O122" s="319"/>
      <c r="P122" s="320"/>
      <c r="Q122" s="321"/>
      <c r="R122" s="316"/>
      <c r="S122" s="322"/>
      <c r="T122" s="326"/>
      <c r="V122" s="324"/>
      <c r="W122" s="314"/>
      <c r="X122" s="314"/>
      <c r="Y122" s="314"/>
      <c r="Z122" s="325"/>
      <c r="AA122" s="326"/>
      <c r="AB122" s="327"/>
      <c r="AC122" s="226"/>
    </row>
    <row r="123" spans="1:29">
      <c r="A123" s="375">
        <f t="shared" si="0"/>
        <v>81</v>
      </c>
      <c r="B123" s="312"/>
      <c r="C123" s="313"/>
      <c r="D123" s="330"/>
      <c r="E123" s="314"/>
      <c r="F123" s="314"/>
      <c r="G123" s="314"/>
      <c r="H123" s="314"/>
      <c r="I123" s="314"/>
      <c r="J123" s="315"/>
      <c r="K123" s="316"/>
      <c r="L123" s="317"/>
      <c r="M123" s="314"/>
      <c r="N123" s="315"/>
      <c r="O123" s="319"/>
      <c r="P123" s="320"/>
      <c r="Q123" s="321"/>
      <c r="R123" s="316"/>
      <c r="S123" s="322"/>
      <c r="T123" s="326"/>
      <c r="V123" s="324"/>
      <c r="W123" s="314"/>
      <c r="X123" s="314"/>
      <c r="Y123" s="314"/>
      <c r="Z123" s="325"/>
      <c r="AA123" s="326"/>
      <c r="AB123" s="327"/>
      <c r="AC123" s="226"/>
    </row>
    <row r="124" spans="1:29">
      <c r="A124" s="375">
        <f t="shared" si="0"/>
        <v>82</v>
      </c>
      <c r="B124" s="312"/>
      <c r="C124" s="313"/>
      <c r="D124" s="330"/>
      <c r="E124" s="314"/>
      <c r="F124" s="314"/>
      <c r="G124" s="314"/>
      <c r="H124" s="314"/>
      <c r="I124" s="314"/>
      <c r="J124" s="315"/>
      <c r="K124" s="316"/>
      <c r="L124" s="317"/>
      <c r="M124" s="314"/>
      <c r="N124" s="315"/>
      <c r="O124" s="319"/>
      <c r="P124" s="320"/>
      <c r="Q124" s="321"/>
      <c r="R124" s="316"/>
      <c r="S124" s="322"/>
      <c r="T124" s="326"/>
      <c r="V124" s="324"/>
      <c r="W124" s="314"/>
      <c r="X124" s="314"/>
      <c r="Y124" s="314"/>
      <c r="Z124" s="325"/>
      <c r="AA124" s="326"/>
      <c r="AB124" s="327"/>
      <c r="AC124" s="226"/>
    </row>
    <row r="125" spans="1:29">
      <c r="A125" s="375">
        <f t="shared" si="0"/>
        <v>83</v>
      </c>
      <c r="B125" s="312"/>
      <c r="C125" s="313"/>
      <c r="D125" s="330"/>
      <c r="E125" s="314"/>
      <c r="F125" s="314"/>
      <c r="G125" s="314"/>
      <c r="H125" s="314"/>
      <c r="I125" s="314"/>
      <c r="J125" s="315"/>
      <c r="K125" s="316"/>
      <c r="L125" s="317"/>
      <c r="M125" s="314"/>
      <c r="N125" s="315"/>
      <c r="O125" s="319"/>
      <c r="P125" s="320"/>
      <c r="Q125" s="321"/>
      <c r="R125" s="316"/>
      <c r="S125" s="322"/>
      <c r="T125" s="326"/>
      <c r="V125" s="324"/>
      <c r="W125" s="314"/>
      <c r="X125" s="314"/>
      <c r="Y125" s="314"/>
      <c r="Z125" s="325"/>
      <c r="AA125" s="326"/>
      <c r="AB125" s="327"/>
      <c r="AC125" s="226"/>
    </row>
    <row r="126" spans="1:29">
      <c r="A126" s="375">
        <f t="shared" si="0"/>
        <v>84</v>
      </c>
      <c r="B126" s="312"/>
      <c r="C126" s="313"/>
      <c r="D126" s="330"/>
      <c r="E126" s="314"/>
      <c r="F126" s="314"/>
      <c r="G126" s="314"/>
      <c r="H126" s="314"/>
      <c r="I126" s="314"/>
      <c r="J126" s="315"/>
      <c r="K126" s="316"/>
      <c r="L126" s="317"/>
      <c r="M126" s="314"/>
      <c r="N126" s="315"/>
      <c r="O126" s="319"/>
      <c r="P126" s="320"/>
      <c r="Q126" s="321"/>
      <c r="R126" s="316"/>
      <c r="S126" s="322"/>
      <c r="T126" s="326"/>
      <c r="V126" s="324"/>
      <c r="W126" s="314"/>
      <c r="X126" s="314"/>
      <c r="Y126" s="314"/>
      <c r="Z126" s="325"/>
      <c r="AA126" s="326"/>
      <c r="AB126" s="327"/>
      <c r="AC126" s="226"/>
    </row>
    <row r="127" spans="1:29">
      <c r="A127" s="375">
        <f t="shared" si="0"/>
        <v>85</v>
      </c>
      <c r="B127" s="312"/>
      <c r="C127" s="313"/>
      <c r="D127" s="330"/>
      <c r="E127" s="314"/>
      <c r="F127" s="314"/>
      <c r="G127" s="314"/>
      <c r="H127" s="314"/>
      <c r="I127" s="314"/>
      <c r="J127" s="315"/>
      <c r="K127" s="316"/>
      <c r="L127" s="317"/>
      <c r="M127" s="314"/>
      <c r="N127" s="315"/>
      <c r="O127" s="319"/>
      <c r="P127" s="320"/>
      <c r="Q127" s="321"/>
      <c r="R127" s="316"/>
      <c r="S127" s="322"/>
      <c r="T127" s="326"/>
      <c r="V127" s="324"/>
      <c r="W127" s="314"/>
      <c r="X127" s="314"/>
      <c r="Y127" s="314"/>
      <c r="Z127" s="325"/>
      <c r="AA127" s="326"/>
      <c r="AB127" s="327"/>
      <c r="AC127" s="226"/>
    </row>
    <row r="128" spans="1:29">
      <c r="A128" s="375">
        <f t="shared" si="0"/>
        <v>86</v>
      </c>
      <c r="B128" s="312"/>
      <c r="C128" s="313"/>
      <c r="D128" s="330"/>
      <c r="E128" s="314"/>
      <c r="F128" s="314"/>
      <c r="G128" s="314"/>
      <c r="H128" s="314"/>
      <c r="I128" s="314"/>
      <c r="J128" s="315"/>
      <c r="K128" s="316"/>
      <c r="L128" s="317"/>
      <c r="M128" s="314"/>
      <c r="N128" s="315"/>
      <c r="O128" s="319"/>
      <c r="P128" s="320"/>
      <c r="Q128" s="321"/>
      <c r="R128" s="316"/>
      <c r="S128" s="322"/>
      <c r="T128" s="326"/>
      <c r="V128" s="324"/>
      <c r="W128" s="314"/>
      <c r="X128" s="314"/>
      <c r="Y128" s="314"/>
      <c r="Z128" s="325"/>
      <c r="AA128" s="326"/>
      <c r="AB128" s="327"/>
      <c r="AC128" s="226"/>
    </row>
    <row r="129" spans="1:29">
      <c r="A129" s="375">
        <f t="shared" si="0"/>
        <v>87</v>
      </c>
      <c r="B129" s="312"/>
      <c r="C129" s="313"/>
      <c r="D129" s="330"/>
      <c r="E129" s="314"/>
      <c r="F129" s="314"/>
      <c r="G129" s="314"/>
      <c r="H129" s="314"/>
      <c r="I129" s="314"/>
      <c r="J129" s="315"/>
      <c r="K129" s="316"/>
      <c r="L129" s="317"/>
      <c r="M129" s="314"/>
      <c r="N129" s="315"/>
      <c r="O129" s="319"/>
      <c r="P129" s="320"/>
      <c r="Q129" s="321"/>
      <c r="R129" s="316"/>
      <c r="S129" s="322"/>
      <c r="T129" s="326"/>
      <c r="V129" s="324"/>
      <c r="W129" s="314"/>
      <c r="X129" s="314"/>
      <c r="Y129" s="314"/>
      <c r="Z129" s="325"/>
      <c r="AA129" s="326"/>
      <c r="AB129" s="327"/>
      <c r="AC129" s="226"/>
    </row>
    <row r="130" spans="1:29">
      <c r="A130" s="375">
        <f t="shared" si="0"/>
        <v>88</v>
      </c>
      <c r="B130" s="312"/>
      <c r="C130" s="313"/>
      <c r="D130" s="314"/>
      <c r="E130" s="314"/>
      <c r="F130" s="314"/>
      <c r="G130" s="314"/>
      <c r="H130" s="314"/>
      <c r="I130" s="314"/>
      <c r="J130" s="315"/>
      <c r="K130" s="316"/>
      <c r="L130" s="317"/>
      <c r="M130" s="314"/>
      <c r="N130" s="315"/>
      <c r="O130" s="319"/>
      <c r="P130" s="320"/>
      <c r="Q130" s="321"/>
      <c r="R130" s="316"/>
      <c r="S130" s="322"/>
      <c r="T130" s="326"/>
      <c r="V130" s="324"/>
      <c r="W130" s="314"/>
      <c r="X130" s="314"/>
      <c r="Y130" s="314"/>
      <c r="Z130" s="325"/>
      <c r="AA130" s="326"/>
      <c r="AB130" s="327"/>
      <c r="AC130" s="226"/>
    </row>
    <row r="131" spans="1:29">
      <c r="A131" s="375">
        <f t="shared" si="0"/>
        <v>89</v>
      </c>
      <c r="B131" s="312"/>
      <c r="C131" s="313"/>
      <c r="D131" s="314"/>
      <c r="E131" s="314"/>
      <c r="F131" s="314"/>
      <c r="G131" s="314"/>
      <c r="H131" s="314"/>
      <c r="I131" s="314"/>
      <c r="J131" s="315"/>
      <c r="K131" s="316"/>
      <c r="L131" s="317"/>
      <c r="M131" s="314"/>
      <c r="N131" s="315"/>
      <c r="O131" s="319"/>
      <c r="P131" s="320"/>
      <c r="Q131" s="321"/>
      <c r="R131" s="316"/>
      <c r="S131" s="322"/>
      <c r="T131" s="326"/>
      <c r="V131" s="324"/>
      <c r="W131" s="314"/>
      <c r="X131" s="314"/>
      <c r="Y131" s="314"/>
      <c r="Z131" s="325"/>
      <c r="AA131" s="326"/>
      <c r="AB131" s="327"/>
      <c r="AC131" s="226"/>
    </row>
    <row r="132" spans="1:29">
      <c r="A132" s="375">
        <f t="shared" si="0"/>
        <v>90</v>
      </c>
      <c r="B132" s="312"/>
      <c r="C132" s="313"/>
      <c r="D132" s="314"/>
      <c r="E132" s="314"/>
      <c r="F132" s="314"/>
      <c r="G132" s="314"/>
      <c r="H132" s="314"/>
      <c r="I132" s="314"/>
      <c r="J132" s="315"/>
      <c r="K132" s="316"/>
      <c r="L132" s="317"/>
      <c r="M132" s="314"/>
      <c r="N132" s="315"/>
      <c r="O132" s="319"/>
      <c r="P132" s="320"/>
      <c r="Q132" s="321"/>
      <c r="R132" s="316"/>
      <c r="S132" s="322"/>
      <c r="T132" s="326"/>
      <c r="V132" s="324"/>
      <c r="W132" s="314"/>
      <c r="X132" s="314"/>
      <c r="Y132" s="314"/>
      <c r="Z132" s="325"/>
      <c r="AA132" s="326"/>
      <c r="AB132" s="327"/>
      <c r="AC132" s="226"/>
    </row>
    <row r="133" spans="1:29">
      <c r="A133" s="375">
        <f t="shared" ref="A133" si="1">ROW()-ROW($A$42)</f>
        <v>91</v>
      </c>
      <c r="B133" s="312"/>
      <c r="C133" s="313"/>
      <c r="D133" s="314"/>
      <c r="E133" s="314"/>
      <c r="F133" s="314"/>
      <c r="G133" s="314"/>
      <c r="H133" s="314"/>
      <c r="I133" s="314"/>
      <c r="J133" s="315"/>
      <c r="K133" s="316"/>
      <c r="L133" s="317"/>
      <c r="M133" s="314"/>
      <c r="N133" s="315"/>
      <c r="O133" s="319"/>
      <c r="P133" s="320"/>
      <c r="Q133" s="321"/>
      <c r="R133" s="316"/>
      <c r="S133" s="322"/>
      <c r="T133" s="326"/>
      <c r="V133" s="336"/>
      <c r="W133" s="337"/>
      <c r="X133" s="337"/>
      <c r="Y133" s="337"/>
      <c r="Z133" s="338"/>
      <c r="AA133" s="339"/>
      <c r="AB133" s="340"/>
      <c r="AC133" s="341"/>
    </row>
    <row r="134" spans="1:29">
      <c r="A134" s="342" t="s">
        <v>58</v>
      </c>
      <c r="B134" s="343"/>
      <c r="C134" s="344"/>
      <c r="D134" s="345"/>
      <c r="E134" s="346"/>
      <c r="F134" s="346"/>
      <c r="G134" s="346"/>
      <c r="H134" s="347"/>
      <c r="I134" s="347"/>
      <c r="J134" s="348"/>
      <c r="K134" s="349"/>
      <c r="L134" s="350"/>
      <c r="M134" s="347"/>
      <c r="N134" s="348"/>
      <c r="O134" s="351"/>
      <c r="P134" s="352"/>
      <c r="Q134" s="353"/>
      <c r="R134" s="349"/>
      <c r="S134" s="354"/>
      <c r="T134" s="355"/>
      <c r="V134" s="356"/>
      <c r="W134" s="347"/>
      <c r="X134" s="347"/>
      <c r="Y134" s="347"/>
      <c r="Z134" s="357"/>
      <c r="AA134" s="355"/>
      <c r="AB134" s="358"/>
      <c r="AC134" s="359"/>
    </row>
    <row r="135" spans="1:29">
      <c r="A135" s="360"/>
      <c r="B135" s="360"/>
      <c r="C135" s="360"/>
      <c r="D135" s="360"/>
      <c r="E135" s="360"/>
      <c r="F135" s="360"/>
      <c r="G135" s="360"/>
      <c r="H135" s="360"/>
      <c r="I135" s="360"/>
      <c r="J135" s="361"/>
      <c r="K135" s="360"/>
      <c r="L135" s="360"/>
      <c r="M135" s="360"/>
      <c r="N135" s="361"/>
      <c r="O135" s="360"/>
      <c r="P135" s="362"/>
      <c r="Q135" s="361"/>
      <c r="R135" s="360"/>
      <c r="S135" s="360"/>
      <c r="T135" s="360"/>
      <c r="V135" s="363"/>
      <c r="W135" s="363"/>
      <c r="X135" s="363"/>
      <c r="Y135" s="363"/>
      <c r="Z135" s="363"/>
      <c r="AA135" s="363"/>
      <c r="AB135" s="363"/>
      <c r="AC135" s="363"/>
    </row>
    <row r="136" spans="1:29">
      <c r="K136" s="173"/>
      <c r="L136" s="172"/>
      <c r="O136" s="173"/>
      <c r="P136" s="172"/>
      <c r="Q136" s="215"/>
      <c r="R136" s="173"/>
      <c r="S136" s="172"/>
    </row>
    <row r="137" spans="1:29">
      <c r="K137" s="173"/>
      <c r="L137" s="172"/>
      <c r="O137" s="173"/>
      <c r="P137" s="172"/>
      <c r="Q137" s="215"/>
      <c r="R137" s="173"/>
      <c r="S137" s="172"/>
    </row>
  </sheetData>
  <sheetProtection sheet="1" formatCells="0" formatColumns="0" formatRows="0" insertColumns="0" insertRows="0" insertHyperlinks="0" deleteColumns="0" deleteRows="0" sort="0" autoFilter="0" pivotTables="0"/>
  <autoFilter ref="A42:T42" xr:uid="{00000000-0009-0000-0000-000001000000}"/>
  <mergeCells count="21">
    <mergeCell ref="L6:M6"/>
    <mergeCell ref="V41:V42"/>
    <mergeCell ref="AB41:AC41"/>
    <mergeCell ref="Z41:Z42"/>
    <mergeCell ref="AA41:AA42"/>
    <mergeCell ref="D33:G33"/>
    <mergeCell ref="B26:C26"/>
    <mergeCell ref="Q25:R25"/>
    <mergeCell ref="A25:B25"/>
    <mergeCell ref="D32:G32"/>
    <mergeCell ref="D31:G31"/>
    <mergeCell ref="D30:G30"/>
    <mergeCell ref="D29:G29"/>
    <mergeCell ref="D28:G28"/>
    <mergeCell ref="D26:G27"/>
    <mergeCell ref="D25:G25"/>
    <mergeCell ref="D38:G38"/>
    <mergeCell ref="D37:G37"/>
    <mergeCell ref="D36:G36"/>
    <mergeCell ref="D35:G35"/>
    <mergeCell ref="D34:G34"/>
  </mergeCells>
  <phoneticPr fontId="2"/>
  <conditionalFormatting sqref="M43:R133 A43:K133">
    <cfRule type="expression" dxfId="19" priority="3" stopIfTrue="1">
      <formula>OR(AND($L43="保留",$M43&lt;&gt;"",$P43&lt;&gt;"",$Q43&lt;&gt;"",$R43&lt;&gt;""),AND(OR($L43="対応済み",$L43="対応無し"),$M43&lt;&gt;"",$Q43&lt;&gt;"",$R43&lt;&gt;""))</formula>
    </cfRule>
  </conditionalFormatting>
  <conditionalFormatting sqref="C43:C133">
    <cfRule type="expression" dxfId="18" priority="1">
      <formula>AND($B43&lt;&gt;"質問・確認",C43="",OR($L43="対応済み",$L43="対応無し",$L43="保留"),AND($Q43&lt;&gt;"",$R43&lt;&gt;"",$M43&lt;&gt;""))</formula>
    </cfRule>
  </conditionalFormatting>
  <conditionalFormatting sqref="M43:O133 D43:D133 I43:K133">
    <cfRule type="expression" dxfId="17" priority="2" stopIfTrue="1">
      <formula>AND(D43="",OR($L43="対応済み",$L43="対応無し",$L43="保留"),AND($Q43&lt;&gt;"",$R43&lt;&gt;"",$M43&lt;&gt;""))</formula>
    </cfRule>
  </conditionalFormatting>
  <conditionalFormatting sqref="L43:L133">
    <cfRule type="cellIs" dxfId="16" priority="13" stopIfTrue="1" operator="equal">
      <formula>"対応済み"</formula>
    </cfRule>
    <cfRule type="cellIs" dxfId="15" priority="21" stopIfTrue="1" operator="equal">
      <formula>"保留"</formula>
    </cfRule>
    <cfRule type="cellIs" dxfId="14" priority="22" stopIfTrue="1" operator="equal">
      <formula>"対応無し"</formula>
    </cfRule>
  </conditionalFormatting>
  <conditionalFormatting sqref="N13:N14">
    <cfRule type="cellIs" dxfId="13" priority="24" stopIfTrue="1" operator="greaterThanOrEqual">
      <formula>1</formula>
    </cfRule>
  </conditionalFormatting>
  <conditionalFormatting sqref="S43:T133">
    <cfRule type="expression" dxfId="12" priority="25" stopIfTrue="1">
      <formula>AND($S43&lt;&gt;"",$T43&lt;&gt;"")</formula>
    </cfRule>
  </conditionalFormatting>
  <conditionalFormatting sqref="V1:AC1048576">
    <cfRule type="expression" dxfId="11" priority="6" stopIfTrue="1">
      <formula>$N$6="使用しない"</formula>
    </cfRule>
  </conditionalFormatting>
  <conditionalFormatting sqref="V43:AC133">
    <cfRule type="expression" dxfId="10" priority="9" stopIfTrue="1">
      <formula>OR(AND(AND($V43="否",$W43&lt;&gt;""),$Z43&lt;&gt;"",$AA43&lt;&gt;"",$AB43&lt;&gt;"",$AC43&lt;&gt;""),AND(AND($V43="要",$X43&lt;&gt;"",$Y43&lt;&gt;""),$Z43&lt;&gt;"",$AA43&lt;&gt;"",$AB43&lt;&gt;"",$AC43&lt;&gt;""))</formula>
    </cfRule>
  </conditionalFormatting>
  <conditionalFormatting sqref="W43:W133">
    <cfRule type="expression" dxfId="9" priority="10" stopIfTrue="1">
      <formula>$V43="要"</formula>
    </cfRule>
  </conditionalFormatting>
  <conditionalFormatting sqref="X15:X16">
    <cfRule type="cellIs" dxfId="8" priority="7" stopIfTrue="1" operator="greaterThanOrEqual">
      <formula>1</formula>
    </cfRule>
  </conditionalFormatting>
  <conditionalFormatting sqref="X43:Y133">
    <cfRule type="expression" dxfId="7" priority="11" stopIfTrue="1">
      <formula>$V43="否"</formula>
    </cfRule>
  </conditionalFormatting>
  <dataValidations xWindow="809" yWindow="184" count="15">
    <dataValidation type="list" allowBlank="1" showInputMessage="1" showErrorMessage="1" sqref="M25" xr:uid="{00000000-0002-0000-0100-000000000000}">
      <formula1>"　,プロジェクト管理資料（計画書等）,要件定義書,外部設計書,内部設計書,ソースコード,単体テスト仕様書,結合テスト仕様書,システムテスト仕様書,その他エンジニアリング成果物,支援文書（マニュアル等）"</formula1>
    </dataValidation>
    <dataValidation operator="greaterThanOrEqual" allowBlank="1" showInputMessage="1" showErrorMessage="1" sqref="D28:D37 D25" xr:uid="{00000000-0002-0000-0100-000001000000}"/>
    <dataValidation type="list" allowBlank="1" showInputMessage="1" showErrorMessage="1" sqref="H6" xr:uid="{00000000-0002-0000-0100-000002000000}">
      <formula1>"ホスト,C/S,Web,PROSRV,基盤構築・更改,その他"</formula1>
    </dataValidation>
    <dataValidation type="list" allowBlank="1" showInputMessage="1" showErrorMessage="1" sqref="C6" xr:uid="{00000000-0002-0000-0100-000003000000}">
      <formula1>"個人,会議,組織,顧客"</formula1>
    </dataValidation>
    <dataValidation type="list" allowBlank="1" showInputMessage="1" showErrorMessage="1" sqref="H5" xr:uid="{00000000-0002-0000-0100-000004000000}">
      <formula1>実施フェーズ</formula1>
    </dataValidation>
    <dataValidation type="list" allowBlank="1" showInputMessage="1" showErrorMessage="1" sqref="H28:H37" xr:uid="{00000000-0002-0000-0100-000005000000}">
      <formula1>役割</formula1>
    </dataValidation>
    <dataValidation type="list" allowBlank="1" showInputMessage="1" showErrorMessage="1" sqref="L43:L133" xr:uid="{00000000-0002-0000-0100-000006000000}">
      <formula1>"対応済み,対応無し,保留"</formula1>
    </dataValidation>
    <dataValidation type="list" allowBlank="1" sqref="D43:D133" xr:uid="{00000000-0002-0000-0100-000007000000}">
      <formula1>$M$27:$M$37</formula1>
    </dataValidation>
    <dataValidation type="list" allowBlank="1" showInputMessage="1" showErrorMessage="1" sqref="C43:C133" xr:uid="{00000000-0002-0000-0100-000008000000}">
      <formula1>原因区分</formula1>
    </dataValidation>
    <dataValidation type="list" allowBlank="1" showInputMessage="1" showErrorMessage="1" sqref="B43:B133" xr:uid="{00000000-0002-0000-0100-000009000000}">
      <formula1>分類</formula1>
    </dataValidation>
    <dataValidation type="list" allowBlank="1" showInputMessage="1" sqref="K43:K133 O43:O133 R43:R133" xr:uid="{00000000-0002-0000-0100-00000A000000}">
      <formula1>$B$27:$B$37</formula1>
    </dataValidation>
    <dataValidation allowBlank="1" sqref="E43:G133" xr:uid="{00000000-0002-0000-0100-00000B000000}"/>
    <dataValidation type="list" allowBlank="1" showInputMessage="1" showErrorMessage="1" sqref="N6" xr:uid="{CF4BD5EC-2C99-4D04-BA9F-FB44F80770D0}">
      <formula1>"使用する,使用しない"</formula1>
    </dataValidation>
    <dataValidation type="list" allowBlank="1" showInputMessage="1" showErrorMessage="1" sqref="V43:V133" xr:uid="{FD2DB1CC-5510-49D5-9773-5227A6918F45}">
      <formula1>"要,否"</formula1>
    </dataValidation>
    <dataValidation type="date" operator="greaterThanOrEqual" allowBlank="1" showInputMessage="1" showErrorMessage="1" sqref="C25 H25 J43:J133 N43:N133 Q43:Q133 S43:S133 Z43:Z133 AB43:AB133" xr:uid="{269F5DAB-F349-4244-A5ED-1549FE7D9236}">
      <formula1>1</formula1>
    </dataValidation>
  </dataValidations>
  <pageMargins left="0.59055118110236227" right="0.39370078740157483" top="0.78740157480314965" bottom="0.59055118110236227" header="0.39370078740157483" footer="0.19685039370078741"/>
  <pageSetup paperSize="9" scale="67" fitToHeight="0" orientation="landscape" r:id="rId1"/>
  <headerFooter alignWithMargins="0">
    <oddFooter>&amp;L&amp;8&lt;&amp;F&gt;
&amp;10&amp;A&amp;C&amp;P / &amp;N&amp;R&amp;"HG創英角ｺﾞｼｯｸUB,ｳﾙﾄﾗﾎﾞｰﾙﾄﾞ"&amp;8三菱総研ＤＣＳ株式会社</oddFooter>
  </headerFooter>
  <ignoredErrors>
    <ignoredError sqref="A130:A133 A43:A58" unlockedFormula="1"/>
  </ignoredErrors>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pageSetUpPr autoPageBreaks="0"/>
  </sheetPr>
  <dimension ref="A2:F63"/>
  <sheetViews>
    <sheetView showGridLines="0" view="pageBreakPreview" zoomScaleNormal="100" zoomScaleSheetLayoutView="160" workbookViewId="0"/>
  </sheetViews>
  <sheetFormatPr defaultColWidth="9" defaultRowHeight="10.8" outlineLevelRow="1"/>
  <cols>
    <col min="1" max="1" width="3.21875" style="7" customWidth="1"/>
    <col min="2" max="2" width="17" style="7" customWidth="1"/>
    <col min="3" max="3" width="14.33203125" style="7" customWidth="1"/>
    <col min="4" max="4" width="55.21875" style="7" customWidth="1"/>
    <col min="5" max="5" width="4.44140625" style="7" bestFit="1" customWidth="1"/>
    <col min="6" max="6" width="21.109375" style="7" customWidth="1"/>
    <col min="7" max="16384" width="9" style="7"/>
  </cols>
  <sheetData>
    <row r="2" spans="1:6" ht="16.2">
      <c r="A2" s="122" t="s">
        <v>167</v>
      </c>
    </row>
    <row r="3" spans="1:6">
      <c r="A3" s="133" t="s">
        <v>219</v>
      </c>
      <c r="B3" s="133"/>
    </row>
    <row r="5" spans="1:6">
      <c r="A5" s="109" t="s">
        <v>172</v>
      </c>
      <c r="B5" s="109" t="s">
        <v>168</v>
      </c>
      <c r="C5" s="446" t="s">
        <v>169</v>
      </c>
      <c r="D5" s="447"/>
      <c r="E5" s="111" t="s">
        <v>170</v>
      </c>
      <c r="F5" s="110" t="s">
        <v>249</v>
      </c>
    </row>
    <row r="6" spans="1:6">
      <c r="A6" s="121">
        <f>ROW()-ROW($A$5)</f>
        <v>1</v>
      </c>
      <c r="B6" s="63" t="s">
        <v>11</v>
      </c>
      <c r="C6" s="445" t="s">
        <v>176</v>
      </c>
      <c r="D6" s="434"/>
      <c r="E6" s="120"/>
      <c r="F6" s="2"/>
    </row>
    <row r="7" spans="1:6" outlineLevel="1">
      <c r="A7" s="114">
        <f t="shared" ref="A7:A60" si="0">ROW()-ROW($A$5)</f>
        <v>2</v>
      </c>
      <c r="B7" s="112"/>
      <c r="C7" s="443" t="s">
        <v>177</v>
      </c>
      <c r="D7" s="417"/>
      <c r="E7" s="117"/>
      <c r="F7" s="4"/>
    </row>
    <row r="8" spans="1:6" outlineLevel="1">
      <c r="A8" s="114">
        <f t="shared" si="0"/>
        <v>3</v>
      </c>
      <c r="B8" s="112"/>
      <c r="C8" s="443" t="s">
        <v>178</v>
      </c>
      <c r="D8" s="417"/>
      <c r="E8" s="117"/>
      <c r="F8" s="4"/>
    </row>
    <row r="9" spans="1:6" ht="22.5" customHeight="1" outlineLevel="1">
      <c r="A9" s="114">
        <f t="shared" si="0"/>
        <v>4</v>
      </c>
      <c r="B9" s="112"/>
      <c r="C9" s="443" t="s">
        <v>332</v>
      </c>
      <c r="D9" s="417"/>
      <c r="E9" s="117"/>
      <c r="F9" s="4"/>
    </row>
    <row r="10" spans="1:6" outlineLevel="1">
      <c r="A10" s="114">
        <f t="shared" si="0"/>
        <v>5</v>
      </c>
      <c r="B10" s="112"/>
      <c r="C10" s="443" t="s">
        <v>179</v>
      </c>
      <c r="D10" s="417"/>
      <c r="E10" s="117"/>
      <c r="F10" s="4"/>
    </row>
    <row r="11" spans="1:6" outlineLevel="1">
      <c r="A11" s="114">
        <f t="shared" si="0"/>
        <v>6</v>
      </c>
      <c r="B11" s="113"/>
      <c r="C11" s="444" t="s">
        <v>225</v>
      </c>
      <c r="D11" s="419"/>
      <c r="E11" s="119"/>
      <c r="F11" s="127"/>
    </row>
    <row r="12" spans="1:6">
      <c r="A12" s="114">
        <f t="shared" si="0"/>
        <v>7</v>
      </c>
      <c r="B12" s="63" t="s">
        <v>216</v>
      </c>
      <c r="C12" s="445" t="s">
        <v>180</v>
      </c>
      <c r="D12" s="434"/>
      <c r="E12" s="120"/>
      <c r="F12" s="2"/>
    </row>
    <row r="13" spans="1:6" outlineLevel="1">
      <c r="A13" s="114">
        <f t="shared" si="0"/>
        <v>8</v>
      </c>
      <c r="B13" s="112"/>
      <c r="C13" s="443" t="s">
        <v>181</v>
      </c>
      <c r="D13" s="417"/>
      <c r="E13" s="117"/>
      <c r="F13" s="4"/>
    </row>
    <row r="14" spans="1:6" outlineLevel="1">
      <c r="A14" s="114">
        <f t="shared" si="0"/>
        <v>9</v>
      </c>
      <c r="B14" s="112"/>
      <c r="C14" s="443" t="s">
        <v>5</v>
      </c>
      <c r="D14" s="417"/>
      <c r="E14" s="117"/>
      <c r="F14" s="4"/>
    </row>
    <row r="15" spans="1:6" outlineLevel="1">
      <c r="A15" s="114">
        <f t="shared" si="0"/>
        <v>10</v>
      </c>
      <c r="B15" s="112"/>
      <c r="C15" s="443" t="s">
        <v>182</v>
      </c>
      <c r="D15" s="417"/>
      <c r="E15" s="117"/>
      <c r="F15" s="4"/>
    </row>
    <row r="16" spans="1:6" ht="22.5" customHeight="1">
      <c r="A16" s="114">
        <f t="shared" si="0"/>
        <v>11</v>
      </c>
      <c r="B16" s="68" t="s">
        <v>217</v>
      </c>
      <c r="C16" s="443" t="s">
        <v>215</v>
      </c>
      <c r="D16" s="417"/>
      <c r="E16" s="117"/>
      <c r="F16" s="4"/>
    </row>
    <row r="17" spans="1:6" outlineLevel="1">
      <c r="A17" s="114">
        <f t="shared" si="0"/>
        <v>12</v>
      </c>
      <c r="B17" s="112"/>
      <c r="C17" s="443" t="s">
        <v>187</v>
      </c>
      <c r="D17" s="417"/>
      <c r="E17" s="117"/>
      <c r="F17" s="4"/>
    </row>
    <row r="18" spans="1:6" outlineLevel="1">
      <c r="A18" s="114">
        <f t="shared" si="0"/>
        <v>13</v>
      </c>
      <c r="B18" s="112"/>
      <c r="C18" s="443" t="s">
        <v>188</v>
      </c>
      <c r="D18" s="417"/>
      <c r="E18" s="117"/>
      <c r="F18" s="4"/>
    </row>
    <row r="19" spans="1:6" ht="21.6" outlineLevel="1">
      <c r="A19" s="114">
        <f t="shared" si="0"/>
        <v>14</v>
      </c>
      <c r="B19" s="112"/>
      <c r="C19" s="129" t="s">
        <v>220</v>
      </c>
      <c r="D19" s="48" t="s">
        <v>189</v>
      </c>
      <c r="E19" s="117"/>
      <c r="F19" s="4"/>
    </row>
    <row r="20" spans="1:6" ht="21.6" outlineLevel="1">
      <c r="A20" s="114">
        <f t="shared" si="0"/>
        <v>15</v>
      </c>
      <c r="B20" s="112"/>
      <c r="C20" s="134"/>
      <c r="D20" s="48" t="s">
        <v>190</v>
      </c>
      <c r="E20" s="117"/>
      <c r="F20" s="4"/>
    </row>
    <row r="21" spans="1:6" ht="21.6" outlineLevel="1">
      <c r="A21" s="114">
        <f t="shared" si="0"/>
        <v>16</v>
      </c>
      <c r="B21" s="112"/>
      <c r="C21" s="129" t="s">
        <v>171</v>
      </c>
      <c r="D21" s="48" t="s">
        <v>191</v>
      </c>
      <c r="E21" s="117"/>
      <c r="F21" s="4"/>
    </row>
    <row r="22" spans="1:6" ht="21.6" outlineLevel="1">
      <c r="A22" s="114">
        <f t="shared" si="0"/>
        <v>17</v>
      </c>
      <c r="B22" s="112"/>
      <c r="C22" s="135"/>
      <c r="D22" s="48" t="s">
        <v>192</v>
      </c>
      <c r="E22" s="117"/>
      <c r="F22" s="4"/>
    </row>
    <row r="23" spans="1:6" ht="21.6" outlineLevel="1">
      <c r="A23" s="114">
        <f t="shared" si="0"/>
        <v>18</v>
      </c>
      <c r="B23" s="112"/>
      <c r="C23" s="134"/>
      <c r="D23" s="48" t="s">
        <v>193</v>
      </c>
      <c r="E23" s="117"/>
      <c r="F23" s="4"/>
    </row>
    <row r="24" spans="1:6" ht="21.6" outlineLevel="1">
      <c r="A24" s="114">
        <f t="shared" si="0"/>
        <v>19</v>
      </c>
      <c r="B24" s="112"/>
      <c r="C24" s="129" t="s">
        <v>221</v>
      </c>
      <c r="D24" s="48" t="s">
        <v>194</v>
      </c>
      <c r="E24" s="117"/>
      <c r="F24" s="4"/>
    </row>
    <row r="25" spans="1:6" outlineLevel="1">
      <c r="A25" s="114">
        <f t="shared" si="0"/>
        <v>20</v>
      </c>
      <c r="B25" s="112"/>
      <c r="C25" s="135"/>
      <c r="D25" s="48" t="s">
        <v>195</v>
      </c>
      <c r="E25" s="117"/>
      <c r="F25" s="4"/>
    </row>
    <row r="26" spans="1:6" ht="21.6" outlineLevel="1">
      <c r="A26" s="114">
        <f t="shared" si="0"/>
        <v>21</v>
      </c>
      <c r="B26" s="112"/>
      <c r="C26" s="135"/>
      <c r="D26" s="48" t="s">
        <v>224</v>
      </c>
      <c r="E26" s="117"/>
      <c r="F26" s="4"/>
    </row>
    <row r="27" spans="1:6" outlineLevel="1">
      <c r="A27" s="114">
        <f t="shared" si="0"/>
        <v>22</v>
      </c>
      <c r="B27" s="112"/>
      <c r="C27" s="126" t="s">
        <v>173</v>
      </c>
      <c r="D27" s="48" t="s">
        <v>196</v>
      </c>
      <c r="E27" s="117"/>
      <c r="F27" s="4"/>
    </row>
    <row r="28" spans="1:6" outlineLevel="1">
      <c r="A28" s="114">
        <f t="shared" si="0"/>
        <v>23</v>
      </c>
      <c r="B28" s="112"/>
      <c r="C28" s="169"/>
      <c r="D28" s="170" t="s">
        <v>333</v>
      </c>
      <c r="E28" s="118"/>
      <c r="F28" s="4"/>
    </row>
    <row r="29" spans="1:6">
      <c r="A29" s="114">
        <f t="shared" si="0"/>
        <v>24</v>
      </c>
      <c r="B29" s="63" t="s">
        <v>223</v>
      </c>
      <c r="C29" s="445" t="s">
        <v>6</v>
      </c>
      <c r="D29" s="434"/>
      <c r="E29" s="128"/>
      <c r="F29" s="2"/>
    </row>
    <row r="30" spans="1:6" outlineLevel="1">
      <c r="A30" s="114">
        <f t="shared" si="0"/>
        <v>25</v>
      </c>
      <c r="B30" s="112"/>
      <c r="C30" s="443" t="s">
        <v>211</v>
      </c>
      <c r="D30" s="417"/>
      <c r="E30" s="117"/>
      <c r="F30" s="4"/>
    </row>
    <row r="31" spans="1:6" outlineLevel="1">
      <c r="A31" s="114">
        <f t="shared" si="0"/>
        <v>26</v>
      </c>
      <c r="B31" s="112"/>
      <c r="C31" s="443" t="s">
        <v>7</v>
      </c>
      <c r="D31" s="417"/>
      <c r="E31" s="117"/>
      <c r="F31" s="4"/>
    </row>
    <row r="32" spans="1:6" outlineLevel="1">
      <c r="A32" s="114">
        <f t="shared" si="0"/>
        <v>27</v>
      </c>
      <c r="B32" s="112"/>
      <c r="C32" s="443" t="s">
        <v>183</v>
      </c>
      <c r="D32" s="417"/>
      <c r="E32" s="117"/>
      <c r="F32" s="4"/>
    </row>
    <row r="33" spans="1:6" outlineLevel="1">
      <c r="A33" s="114">
        <f t="shared" si="0"/>
        <v>28</v>
      </c>
      <c r="B33" s="112"/>
      <c r="C33" s="443" t="s">
        <v>186</v>
      </c>
      <c r="D33" s="417"/>
      <c r="E33" s="117"/>
      <c r="F33" s="4"/>
    </row>
    <row r="34" spans="1:6" outlineLevel="1">
      <c r="A34" s="114">
        <f t="shared" si="0"/>
        <v>29</v>
      </c>
      <c r="B34" s="112"/>
      <c r="C34" s="443" t="s">
        <v>184</v>
      </c>
      <c r="D34" s="417"/>
      <c r="E34" s="117"/>
      <c r="F34" s="4"/>
    </row>
    <row r="35" spans="1:6" outlineLevel="1">
      <c r="A35" s="114">
        <f t="shared" si="0"/>
        <v>30</v>
      </c>
      <c r="B35" s="112"/>
      <c r="C35" s="129" t="s">
        <v>214</v>
      </c>
      <c r="D35" s="4" t="s">
        <v>208</v>
      </c>
      <c r="E35" s="117"/>
      <c r="F35" s="4"/>
    </row>
    <row r="36" spans="1:6" outlineLevel="1">
      <c r="A36" s="114">
        <f t="shared" si="0"/>
        <v>31</v>
      </c>
      <c r="B36" s="112"/>
      <c r="C36" s="135"/>
      <c r="D36" s="4" t="s">
        <v>209</v>
      </c>
      <c r="E36" s="117"/>
      <c r="F36" s="4"/>
    </row>
    <row r="37" spans="1:6" outlineLevel="1">
      <c r="A37" s="114">
        <f t="shared" si="0"/>
        <v>32</v>
      </c>
      <c r="B37" s="112"/>
      <c r="C37" s="134"/>
      <c r="D37" s="4" t="s">
        <v>210</v>
      </c>
      <c r="E37" s="117"/>
      <c r="F37" s="4"/>
    </row>
    <row r="38" spans="1:6" outlineLevel="1">
      <c r="A38" s="114">
        <f t="shared" si="0"/>
        <v>33</v>
      </c>
      <c r="B38" s="112"/>
      <c r="C38" s="443" t="s">
        <v>8</v>
      </c>
      <c r="D38" s="417"/>
      <c r="E38" s="117"/>
      <c r="F38" s="4"/>
    </row>
    <row r="39" spans="1:6" outlineLevel="1">
      <c r="A39" s="114">
        <f t="shared" si="0"/>
        <v>34</v>
      </c>
      <c r="B39" s="112"/>
      <c r="C39" s="443" t="s">
        <v>9</v>
      </c>
      <c r="D39" s="417"/>
      <c r="E39" s="117"/>
      <c r="F39" s="4"/>
    </row>
    <row r="40" spans="1:6" outlineLevel="1">
      <c r="A40" s="114">
        <f t="shared" si="0"/>
        <v>35</v>
      </c>
      <c r="B40" s="112"/>
      <c r="C40" s="126" t="s">
        <v>213</v>
      </c>
      <c r="D40" s="48" t="s">
        <v>212</v>
      </c>
      <c r="E40" s="117"/>
      <c r="F40" s="4"/>
    </row>
    <row r="41" spans="1:6" ht="21.6" outlineLevel="1">
      <c r="A41" s="114">
        <f t="shared" si="0"/>
        <v>36</v>
      </c>
      <c r="B41" s="112"/>
      <c r="C41" s="129" t="s">
        <v>222</v>
      </c>
      <c r="D41" s="4" t="s">
        <v>198</v>
      </c>
      <c r="E41" s="117"/>
      <c r="F41" s="4"/>
    </row>
    <row r="42" spans="1:6" ht="21.6" outlineLevel="1">
      <c r="A42" s="114">
        <f t="shared" si="0"/>
        <v>37</v>
      </c>
      <c r="B42" s="112"/>
      <c r="C42" s="135"/>
      <c r="D42" s="4" t="s">
        <v>199</v>
      </c>
      <c r="E42" s="117"/>
      <c r="F42" s="4"/>
    </row>
    <row r="43" spans="1:6" outlineLevel="1">
      <c r="A43" s="114">
        <f t="shared" si="0"/>
        <v>38</v>
      </c>
      <c r="B43" s="112"/>
      <c r="C43" s="135"/>
      <c r="D43" s="4" t="s">
        <v>200</v>
      </c>
      <c r="E43" s="117"/>
      <c r="F43" s="4"/>
    </row>
    <row r="44" spans="1:6" outlineLevel="1">
      <c r="A44" s="114">
        <f t="shared" si="0"/>
        <v>39</v>
      </c>
      <c r="B44" s="112"/>
      <c r="C44" s="135"/>
      <c r="D44" s="4" t="s">
        <v>201</v>
      </c>
      <c r="E44" s="117"/>
      <c r="F44" s="4"/>
    </row>
    <row r="45" spans="1:6" ht="21.6" outlineLevel="1">
      <c r="A45" s="114">
        <f t="shared" si="0"/>
        <v>40</v>
      </c>
      <c r="B45" s="112"/>
      <c r="C45" s="135"/>
      <c r="D45" s="4" t="s">
        <v>202</v>
      </c>
      <c r="E45" s="117"/>
      <c r="F45" s="4"/>
    </row>
    <row r="46" spans="1:6" outlineLevel="1">
      <c r="A46" s="114">
        <f t="shared" si="0"/>
        <v>41</v>
      </c>
      <c r="B46" s="112"/>
      <c r="C46" s="135"/>
      <c r="D46" s="4" t="s">
        <v>203</v>
      </c>
      <c r="E46" s="117"/>
      <c r="F46" s="4"/>
    </row>
    <row r="47" spans="1:6" outlineLevel="1">
      <c r="A47" s="114">
        <f t="shared" si="0"/>
        <v>42</v>
      </c>
      <c r="B47" s="112"/>
      <c r="C47" s="135"/>
      <c r="D47" s="4" t="s">
        <v>204</v>
      </c>
      <c r="E47" s="117"/>
      <c r="F47" s="4"/>
    </row>
    <row r="48" spans="1:6" outlineLevel="1">
      <c r="A48" s="114">
        <f t="shared" si="0"/>
        <v>43</v>
      </c>
      <c r="B48" s="112"/>
      <c r="C48" s="135"/>
      <c r="D48" s="4" t="s">
        <v>205</v>
      </c>
      <c r="E48" s="117"/>
      <c r="F48" s="4"/>
    </row>
    <row r="49" spans="1:6" outlineLevel="1">
      <c r="A49" s="114">
        <f t="shared" si="0"/>
        <v>44</v>
      </c>
      <c r="B49" s="112"/>
      <c r="C49" s="135"/>
      <c r="D49" s="4" t="s">
        <v>206</v>
      </c>
      <c r="E49" s="117"/>
      <c r="F49" s="4"/>
    </row>
    <row r="50" spans="1:6" outlineLevel="1">
      <c r="A50" s="114">
        <f t="shared" si="0"/>
        <v>45</v>
      </c>
      <c r="B50" s="112"/>
      <c r="C50" s="134"/>
      <c r="D50" s="4" t="s">
        <v>207</v>
      </c>
      <c r="E50" s="117"/>
      <c r="F50" s="4"/>
    </row>
    <row r="51" spans="1:6" outlineLevel="1">
      <c r="A51" s="114">
        <f t="shared" si="0"/>
        <v>46</v>
      </c>
      <c r="B51" s="112"/>
      <c r="C51" s="443" t="s">
        <v>0</v>
      </c>
      <c r="D51" s="417"/>
      <c r="E51" s="117"/>
      <c r="F51" s="4"/>
    </row>
    <row r="52" spans="1:6" outlineLevel="1">
      <c r="A52" s="131">
        <f t="shared" si="0"/>
        <v>47</v>
      </c>
      <c r="B52" s="113"/>
      <c r="C52" s="444" t="s">
        <v>185</v>
      </c>
      <c r="D52" s="419"/>
      <c r="E52" s="118"/>
      <c r="F52" s="1"/>
    </row>
    <row r="53" spans="1:6">
      <c r="A53" s="121">
        <f t="shared" si="0"/>
        <v>48</v>
      </c>
      <c r="B53" s="63" t="s">
        <v>174</v>
      </c>
      <c r="C53" s="445" t="s">
        <v>1</v>
      </c>
      <c r="D53" s="434"/>
      <c r="E53" s="120"/>
      <c r="F53" s="123"/>
    </row>
    <row r="54" spans="1:6" outlineLevel="1">
      <c r="A54" s="114">
        <f t="shared" si="0"/>
        <v>49</v>
      </c>
      <c r="B54" s="112"/>
      <c r="C54" s="443" t="s">
        <v>2</v>
      </c>
      <c r="D54" s="417"/>
      <c r="E54" s="117"/>
      <c r="F54" s="124"/>
    </row>
    <row r="55" spans="1:6" outlineLevel="1">
      <c r="A55" s="114">
        <f t="shared" si="0"/>
        <v>50</v>
      </c>
      <c r="B55" s="112"/>
      <c r="C55" s="443" t="s">
        <v>3</v>
      </c>
      <c r="D55" s="417"/>
      <c r="E55" s="117"/>
      <c r="F55" s="124"/>
    </row>
    <row r="56" spans="1:6" outlineLevel="1">
      <c r="A56" s="114">
        <f t="shared" si="0"/>
        <v>51</v>
      </c>
      <c r="B56" s="112"/>
      <c r="C56" s="443" t="s">
        <v>10</v>
      </c>
      <c r="D56" s="417"/>
      <c r="E56" s="117"/>
      <c r="F56" s="124"/>
    </row>
    <row r="57" spans="1:6" outlineLevel="1">
      <c r="A57" s="114">
        <f t="shared" si="0"/>
        <v>52</v>
      </c>
      <c r="B57" s="112"/>
      <c r="C57" s="443" t="s">
        <v>4</v>
      </c>
      <c r="D57" s="417"/>
      <c r="E57" s="117"/>
      <c r="F57" s="124"/>
    </row>
    <row r="58" spans="1:6">
      <c r="A58" s="115">
        <f t="shared" si="0"/>
        <v>53</v>
      </c>
      <c r="B58" s="112"/>
      <c r="C58" s="444" t="s">
        <v>197</v>
      </c>
      <c r="D58" s="419"/>
      <c r="E58" s="118"/>
      <c r="F58" s="125"/>
    </row>
    <row r="59" spans="1:6" outlineLevel="1">
      <c r="A59" s="130">
        <f t="shared" si="0"/>
        <v>54</v>
      </c>
      <c r="B59" s="63" t="s">
        <v>175</v>
      </c>
      <c r="C59" s="445"/>
      <c r="D59" s="434"/>
      <c r="E59" s="128"/>
      <c r="F59" s="132"/>
    </row>
    <row r="60" spans="1:6" outlineLevel="1">
      <c r="A60" s="114">
        <f t="shared" si="0"/>
        <v>55</v>
      </c>
      <c r="B60" s="112"/>
      <c r="C60" s="443"/>
      <c r="D60" s="417"/>
      <c r="E60" s="117"/>
      <c r="F60" s="124"/>
    </row>
    <row r="61" spans="1:6" outlineLevel="1">
      <c r="A61" s="115">
        <f>ROW()-ROW($A$5)</f>
        <v>56</v>
      </c>
      <c r="B61" s="113"/>
      <c r="C61" s="444"/>
      <c r="D61" s="419"/>
      <c r="E61" s="118"/>
      <c r="F61" s="125"/>
    </row>
    <row r="63" spans="1:6">
      <c r="E63" s="116"/>
    </row>
  </sheetData>
  <mergeCells count="33">
    <mergeCell ref="C9:D9"/>
    <mergeCell ref="C61:D61"/>
    <mergeCell ref="C58:D58"/>
    <mergeCell ref="C59:D59"/>
    <mergeCell ref="C5:D5"/>
    <mergeCell ref="C16:D16"/>
    <mergeCell ref="C30:D30"/>
    <mergeCell ref="C60:D60"/>
    <mergeCell ref="C6:D6"/>
    <mergeCell ref="C7:D7"/>
    <mergeCell ref="C8:D8"/>
    <mergeCell ref="C14:D14"/>
    <mergeCell ref="C15:D15"/>
    <mergeCell ref="C17:D17"/>
    <mergeCell ref="C18:D18"/>
    <mergeCell ref="C10:D10"/>
    <mergeCell ref="C11:D11"/>
    <mergeCell ref="C12:D12"/>
    <mergeCell ref="C13:D13"/>
    <mergeCell ref="C34:D34"/>
    <mergeCell ref="C38:D38"/>
    <mergeCell ref="C39:D39"/>
    <mergeCell ref="C51:D51"/>
    <mergeCell ref="C29:D29"/>
    <mergeCell ref="C31:D31"/>
    <mergeCell ref="C32:D32"/>
    <mergeCell ref="C33:D33"/>
    <mergeCell ref="C56:D56"/>
    <mergeCell ref="C57:D57"/>
    <mergeCell ref="C52:D52"/>
    <mergeCell ref="C53:D53"/>
    <mergeCell ref="C54:D54"/>
    <mergeCell ref="C55:D55"/>
  </mergeCells>
  <phoneticPr fontId="2"/>
  <conditionalFormatting sqref="C6:C26">
    <cfRule type="expression" dxfId="5" priority="4" stopIfTrue="1">
      <formula>AND($E6="-")</formula>
    </cfRule>
  </conditionalFormatting>
  <conditionalFormatting sqref="C28:D28">
    <cfRule type="expression" dxfId="4" priority="1" stopIfTrue="1">
      <formula>AND($E28="-")</formula>
    </cfRule>
  </conditionalFormatting>
  <conditionalFormatting sqref="C27:F27">
    <cfRule type="expression" dxfId="3" priority="3" stopIfTrue="1">
      <formula>AND($E27="-")</formula>
    </cfRule>
  </conditionalFormatting>
  <conditionalFormatting sqref="D19:D26 C29:C61 D35:D37 D40:D50">
    <cfRule type="expression" dxfId="2" priority="6" stopIfTrue="1">
      <formula>AND($E19="-")</formula>
    </cfRule>
  </conditionalFormatting>
  <conditionalFormatting sqref="E6:F26">
    <cfRule type="expression" dxfId="1" priority="5" stopIfTrue="1">
      <formula>AND($E6="-")</formula>
    </cfRule>
  </conditionalFormatting>
  <conditionalFormatting sqref="E28:F61">
    <cfRule type="expression" dxfId="0" priority="2" stopIfTrue="1">
      <formula>AND($E28="-")</formula>
    </cfRule>
  </conditionalFormatting>
  <dataValidations count="1">
    <dataValidation type="list" allowBlank="1" showInputMessage="1" showErrorMessage="1" sqref="E6:E61" xr:uid="{00000000-0002-0000-0200-000000000000}">
      <formula1>"○,-"</formula1>
    </dataValidation>
  </dataValidations>
  <pageMargins left="0.59055118110236227" right="0.39370078740157483" top="0.78740157480314965" bottom="0.59055118110236227" header="0.39370078740157483" footer="0.19685039370078741"/>
  <pageSetup paperSize="9" scale="81" fitToHeight="0" orientation="portrait" r:id="rId1"/>
  <headerFooter alignWithMargins="0">
    <oddFooter>&amp;L&amp;8&lt;&amp;F&gt;
&amp;10&amp;A&amp;C&amp;P / &amp;N&amp;R&amp;"HG創英角ｺﾞｼｯｸUB,ｳﾙﾄﾗﾎﾞｰﾙﾄﾞ"&amp;8三菱総研ＤＣＳ株式会社</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outlinePr summaryBelow="0" summaryRight="0"/>
  </sheetPr>
  <dimension ref="B2:L56"/>
  <sheetViews>
    <sheetView showGridLines="0" view="pageBreakPreview" zoomScaleNormal="100" zoomScaleSheetLayoutView="160" workbookViewId="0"/>
  </sheetViews>
  <sheetFormatPr defaultColWidth="9" defaultRowHeight="10.8"/>
  <cols>
    <col min="1" max="4" width="2.6640625" style="7" customWidth="1"/>
    <col min="5" max="5" width="15" style="7" customWidth="1"/>
    <col min="6" max="6" width="26.44140625" style="7" bestFit="1" customWidth="1"/>
    <col min="7" max="7" width="7.88671875" style="7" customWidth="1"/>
    <col min="8" max="8" width="70.77734375" style="7" bestFit="1" customWidth="1"/>
    <col min="9" max="16384" width="9" style="7"/>
  </cols>
  <sheetData>
    <row r="2" spans="2:12" ht="16.2">
      <c r="B2" s="79" t="s">
        <v>156</v>
      </c>
      <c r="F2" s="25"/>
    </row>
    <row r="4" spans="2:12" hidden="1">
      <c r="C4" s="26" t="s">
        <v>40</v>
      </c>
      <c r="D4" s="27"/>
      <c r="E4" s="28"/>
      <c r="F4" s="30" t="s">
        <v>41</v>
      </c>
    </row>
    <row r="5" spans="2:12" hidden="1">
      <c r="C5" s="26" t="s">
        <v>59</v>
      </c>
      <c r="D5" s="27"/>
      <c r="E5" s="28"/>
      <c r="F5" s="30">
        <v>1</v>
      </c>
    </row>
    <row r="6" spans="2:12" hidden="1">
      <c r="C6" s="26" t="s">
        <v>35</v>
      </c>
      <c r="D6" s="27"/>
      <c r="E6" s="28"/>
      <c r="F6" s="30">
        <v>2</v>
      </c>
    </row>
    <row r="7" spans="2:12" hidden="1">
      <c r="C7" s="26" t="s">
        <v>36</v>
      </c>
      <c r="D7" s="27"/>
      <c r="E7" s="28"/>
      <c r="F7" s="30">
        <v>3</v>
      </c>
    </row>
    <row r="8" spans="2:12" hidden="1">
      <c r="C8" s="26" t="s">
        <v>37</v>
      </c>
      <c r="D8" s="27"/>
      <c r="E8" s="28"/>
      <c r="F8" s="30">
        <v>4</v>
      </c>
    </row>
    <row r="9" spans="2:12" hidden="1">
      <c r="C9" s="26" t="s">
        <v>38</v>
      </c>
      <c r="D9" s="27"/>
      <c r="E9" s="28"/>
      <c r="F9" s="30">
        <v>5</v>
      </c>
    </row>
    <row r="10" spans="2:12" hidden="1">
      <c r="C10" s="26" t="s">
        <v>162</v>
      </c>
      <c r="D10" s="27"/>
      <c r="E10" s="28"/>
      <c r="F10" s="30">
        <v>6</v>
      </c>
    </row>
    <row r="11" spans="2:12" hidden="1">
      <c r="C11" s="26" t="s">
        <v>163</v>
      </c>
      <c r="D11" s="27"/>
      <c r="E11" s="28"/>
      <c r="F11" s="30">
        <v>7</v>
      </c>
    </row>
    <row r="12" spans="2:12" hidden="1">
      <c r="C12" s="26" t="s">
        <v>39</v>
      </c>
      <c r="D12" s="27"/>
      <c r="E12" s="28"/>
      <c r="F12" s="30">
        <v>8</v>
      </c>
    </row>
    <row r="13" spans="2:12">
      <c r="J13" s="7" t="s">
        <v>329</v>
      </c>
    </row>
    <row r="14" spans="2:12">
      <c r="C14" s="6" t="s">
        <v>60</v>
      </c>
      <c r="D14" s="5"/>
      <c r="E14" s="3"/>
      <c r="F14" s="11" t="s">
        <v>30</v>
      </c>
      <c r="G14" s="11" t="s">
        <v>120</v>
      </c>
      <c r="H14" s="11" t="s">
        <v>29</v>
      </c>
      <c r="J14" s="7" t="s">
        <v>299</v>
      </c>
      <c r="L14" s="7" t="str" cm="1">
        <f t="array" ref="L14">IF(F31=SUMPRODUCT((レビュー実施記録!I43:I170&lt;&gt;"")*(レビュー実施記録!L43:L170="対応無し")*(レビュー実施記録!M43:M170&lt;&gt;"")*(レビュー実施記録!Q43:Q170&lt;&gt;"")*(レビュー実施記録!R43:R170&lt;&gt;""))+SUMPRODUCT((レビュー実施記録!I43:I170&lt;&gt;"")*(レビュー実施記録!L43:L170="対応済み")*(レビュー実施記録!M43:M170&lt;&gt;"")*(レビュー実施記録!Q43:Q170&lt;&gt;"")*(レビュー実施記録!R43:R170&lt;&gt;""))+SUMPRODUCT((レビュー実施記録!I43:I170&lt;&gt;"")*(レビュー実施記録!L43:L170="保留")*(レビュー実施記録!M43:M170&lt;&gt;"")*(レビュー実施記録!Q43:Q170&lt;&gt;"")*(レビュー実施記録!P43:P170&lt;&gt;"")*(レビュー実施記録!R43:R170&lt;&gt;"")),"CLOSE","OPEN")</f>
        <v>OPEN</v>
      </c>
    </row>
    <row r="15" spans="2:12" ht="36" customHeight="1">
      <c r="B15" s="7">
        <v>1</v>
      </c>
      <c r="C15" s="8" t="s">
        <v>56</v>
      </c>
      <c r="D15" s="12"/>
      <c r="E15" s="9"/>
      <c r="F15" s="23" t="str">
        <f>IF(レビュー実施記録!N6="使用しない",レビューデータサマリ!L14,レビューデータサマリ!L15)</f>
        <v>OPEN</v>
      </c>
      <c r="G15" s="63"/>
      <c r="H15" s="35" t="s">
        <v>277</v>
      </c>
      <c r="J15" s="7" t="s">
        <v>300</v>
      </c>
      <c r="L15" s="7" t="str" cm="1">
        <f t="array" ref="L15">IF(AND(F31=SUMPRODUCT((レビュー実施記録!I43:I200&lt;&gt;"")*(レビュー実施記録!L43:L200="対応無し")*(レビュー実施記録!M43:M200&lt;&gt;"")*(レビュー実施記録!Q43:Q200&lt;&gt;"")*(レビュー実施記録!R43:R200&lt;&gt;""))+SUMPRODUCT((レビュー実施記録!I43:I200&lt;&gt;"")*(レビュー実施記録!L43:L200="対応済み")*(レビュー実施記録!M43:M200&lt;&gt;"")*(レビュー実施記録!Q43:Q200&lt;&gt;"")*(レビュー実施記録!R43:R200&lt;&gt;""))+SUMPRODUCT((レビュー実施記録!I43:I200&lt;&gt;"")*(レビュー実施記録!L43:L200="保留")*(レビュー実施記録!M43:M200&lt;&gt;"")*(レビュー実施記録!Q43:Q200&lt;&gt;"")*(レビュー実施記録!P43:P200&lt;&gt;"")*(レビュー実施記録!R43:R200&lt;&gt;"")),レビュー実施記録!X10=レビュー実施記録!N10,レビュー実施記録!X11=レビュー実施記録!X12,レビュー実施記録!X13=レビュー実施記録!X14,レビュー実施記録!X15=0,レビュー実施記録!X16=0),"CLOSE","OPEN")</f>
        <v>OPEN</v>
      </c>
    </row>
    <row r="16" spans="2:12">
      <c r="B16" s="7">
        <v>2</v>
      </c>
      <c r="C16" s="21" t="s">
        <v>61</v>
      </c>
      <c r="D16" s="36"/>
      <c r="E16" s="37"/>
      <c r="F16" s="14" t="str">
        <f>IF(レビュー実施記録!C5="","-",レビュー実施記録!C5)</f>
        <v>-</v>
      </c>
      <c r="G16" s="64"/>
      <c r="H16" s="64" t="s">
        <v>62</v>
      </c>
    </row>
    <row r="17" spans="2:8">
      <c r="B17" s="7">
        <v>3</v>
      </c>
      <c r="C17" s="45" t="s">
        <v>23</v>
      </c>
      <c r="D17" s="38"/>
      <c r="E17" s="39"/>
      <c r="F17" s="15" t="str">
        <f>IF(レビュー実施記録!H5="","-",レビュー実施記録!H5)</f>
        <v>外部設計</v>
      </c>
      <c r="G17" s="65"/>
      <c r="H17" s="65" t="s">
        <v>63</v>
      </c>
    </row>
    <row r="18" spans="2:8">
      <c r="B18" s="7">
        <v>4</v>
      </c>
      <c r="C18" s="49"/>
      <c r="D18" s="38" t="s">
        <v>34</v>
      </c>
      <c r="E18" s="39"/>
      <c r="F18" s="15">
        <f>IF(ISNA(VLOOKUP(F17,$C$5:$F$12,4,FALSE)),"-",VLOOKUP(F17,$C$5:$F$12,4,FALSE))</f>
        <v>3</v>
      </c>
      <c r="G18" s="65"/>
      <c r="H18" s="96" t="s">
        <v>164</v>
      </c>
    </row>
    <row r="19" spans="2:8">
      <c r="B19" s="7">
        <v>5</v>
      </c>
      <c r="C19" s="13" t="s">
        <v>112</v>
      </c>
      <c r="D19" s="38"/>
      <c r="E19" s="39"/>
      <c r="F19" s="15" t="str">
        <f>IF(レビュー実施記録!C6="","-",レビュー実施記録!C6)</f>
        <v>個人</v>
      </c>
      <c r="G19" s="65"/>
      <c r="H19" s="65"/>
    </row>
    <row r="20" spans="2:8">
      <c r="B20" s="7">
        <v>6</v>
      </c>
      <c r="C20" s="34" t="s">
        <v>113</v>
      </c>
      <c r="D20" s="40"/>
      <c r="E20" s="41"/>
      <c r="F20" s="19" t="str">
        <f>IF(レビュー実施記録!H6="","-",レビュー実施記録!H6)</f>
        <v>-</v>
      </c>
      <c r="G20" s="66"/>
      <c r="H20" s="66" t="s">
        <v>64</v>
      </c>
    </row>
    <row r="21" spans="2:8">
      <c r="B21" s="7">
        <v>7</v>
      </c>
      <c r="C21" s="21" t="s">
        <v>117</v>
      </c>
      <c r="D21" s="36"/>
      <c r="E21" s="37"/>
      <c r="F21" s="14">
        <f>レビュー実施記録!B20</f>
        <v>0</v>
      </c>
      <c r="G21" s="64"/>
      <c r="H21" s="64"/>
    </row>
    <row r="22" spans="2:8">
      <c r="B22" s="7">
        <v>8</v>
      </c>
      <c r="C22" s="13" t="s">
        <v>118</v>
      </c>
      <c r="D22" s="38"/>
      <c r="E22" s="39"/>
      <c r="F22" s="15">
        <f>レビュー実施記録!B21</f>
        <v>0</v>
      </c>
      <c r="G22" s="65"/>
      <c r="H22" s="65"/>
    </row>
    <row r="23" spans="2:8">
      <c r="B23" s="7">
        <v>9</v>
      </c>
      <c r="C23" s="34" t="s">
        <v>119</v>
      </c>
      <c r="D23" s="40"/>
      <c r="E23" s="41"/>
      <c r="F23" s="19">
        <f>レビュー実施記録!B22</f>
        <v>0</v>
      </c>
      <c r="G23" s="66"/>
      <c r="H23" s="66"/>
    </row>
    <row r="24" spans="2:8">
      <c r="B24" s="7">
        <v>10</v>
      </c>
      <c r="C24" s="42" t="s">
        <v>80</v>
      </c>
      <c r="D24" s="43"/>
      <c r="E24" s="44"/>
      <c r="F24" s="22">
        <f>IF(レビュー実施記録!C25="","-",レビュー実施記録!C25)</f>
        <v>46296</v>
      </c>
      <c r="G24" s="67" t="s">
        <v>122</v>
      </c>
      <c r="H24" s="67" t="s">
        <v>131</v>
      </c>
    </row>
    <row r="25" spans="2:8">
      <c r="B25" s="7">
        <v>11</v>
      </c>
      <c r="C25" s="13" t="s">
        <v>81</v>
      </c>
      <c r="D25" s="38"/>
      <c r="E25" s="39"/>
      <c r="F25" s="16">
        <f>IF(レビュー実施記録!H25="","-",レビュー実施記録!H25)</f>
        <v>46296</v>
      </c>
      <c r="G25" s="65" t="s">
        <v>121</v>
      </c>
      <c r="H25" s="65" t="s">
        <v>132</v>
      </c>
    </row>
    <row r="26" spans="2:8">
      <c r="B26" s="7">
        <v>12</v>
      </c>
      <c r="C26" s="13" t="s">
        <v>24</v>
      </c>
      <c r="D26" s="38"/>
      <c r="E26" s="39"/>
      <c r="F26" s="15" t="str">
        <f>IF(レビュー実施記録!M25="","-",レビュー実施記録!M25)</f>
        <v>-</v>
      </c>
      <c r="G26" s="65"/>
      <c r="H26" s="65" t="s">
        <v>65</v>
      </c>
    </row>
    <row r="27" spans="2:8" ht="111.75" customHeight="1">
      <c r="B27" s="7">
        <v>13</v>
      </c>
      <c r="C27" s="13" t="s">
        <v>52</v>
      </c>
      <c r="D27" s="38"/>
      <c r="E27" s="39"/>
      <c r="F27" s="20" t="str">
        <f>レビュー実施記録!M28&amp;IF(レビュー実施記録!M29="","",CHAR(10)&amp;レビュー実施記録!M29)&amp;IF(レビュー実施記録!M30="","",CHAR(10)&amp;レビュー実施記録!M30)&amp;IF(レビュー実施記録!M31="","",CHAR(10)&amp;レビュー実施記録!M31)&amp;IF(レビュー実施記録!M32="","",CHAR(10)&amp;レビュー実施記録!M32)&amp;IF(レビュー実施記録!M33="","",CHAR(10)&amp;レビュー実施記録!M33)&amp;IF(レビュー実施記録!M34="","",CHAR(10)&amp;レビュー実施記録!M34)&amp;IF(レビュー実施記録!M35="","",CHAR(10)&amp;レビュー実施記録!M35)&amp;IF(レビュー実施記録!M36="","",CHAR(10)&amp;レビュー実施記録!M36)&amp;IF(レビュー実施記録!M37="","",CHAR(10)&amp;レビュー実施記録!M37)</f>
        <v>【修正中】運用設計書_SIEM導入PoC_v1.1 1.xlsx</v>
      </c>
      <c r="G27" s="65"/>
      <c r="H27" s="65" t="s">
        <v>102</v>
      </c>
    </row>
    <row r="28" spans="2:8">
      <c r="B28" s="7">
        <v>14</v>
      </c>
      <c r="C28" s="13" t="s">
        <v>27</v>
      </c>
      <c r="D28" s="38"/>
      <c r="E28" s="39"/>
      <c r="F28" s="17">
        <f>IF(レビュー実施記録!N38="","-",レビュー実施記録!N38)</f>
        <v>0</v>
      </c>
      <c r="G28" s="65" t="s">
        <v>32</v>
      </c>
      <c r="H28" s="65" t="s">
        <v>133</v>
      </c>
    </row>
    <row r="29" spans="2:8">
      <c r="B29" s="7">
        <v>15</v>
      </c>
      <c r="C29" s="13" t="s">
        <v>25</v>
      </c>
      <c r="D29" s="38"/>
      <c r="E29" s="39"/>
      <c r="F29" s="15">
        <f>IF(レビュー実施記録!C38="","-",レビュー実施記録!C38)</f>
        <v>1</v>
      </c>
      <c r="G29" s="65" t="s">
        <v>31</v>
      </c>
      <c r="H29" s="65" t="s">
        <v>134</v>
      </c>
    </row>
    <row r="30" spans="2:8">
      <c r="B30" s="7">
        <v>16</v>
      </c>
      <c r="C30" s="45" t="s">
        <v>26</v>
      </c>
      <c r="D30" s="46"/>
      <c r="E30" s="47"/>
      <c r="F30" s="18">
        <f>IF(レビュー実施記録!D38="","-",レビュー実施記録!D38)</f>
        <v>2.5</v>
      </c>
      <c r="G30" s="68" t="s">
        <v>32</v>
      </c>
      <c r="H30" s="68"/>
    </row>
    <row r="31" spans="2:8">
      <c r="B31" s="7">
        <v>17</v>
      </c>
      <c r="C31" s="69" t="s">
        <v>28</v>
      </c>
      <c r="D31" s="50"/>
      <c r="E31" s="51"/>
      <c r="F31" s="14">
        <f>レビュー実施記録!N10</f>
        <v>76</v>
      </c>
      <c r="G31" s="64" t="s">
        <v>33</v>
      </c>
      <c r="H31" s="64"/>
    </row>
    <row r="32" spans="2:8">
      <c r="B32" s="7">
        <v>18</v>
      </c>
      <c r="C32" s="70"/>
      <c r="D32" s="98" t="s">
        <v>125</v>
      </c>
      <c r="E32" s="97"/>
      <c r="F32" s="15">
        <f>SUM(F33:F39)</f>
        <v>35</v>
      </c>
      <c r="G32" s="65" t="s">
        <v>33</v>
      </c>
      <c r="H32" s="65" t="s">
        <v>151</v>
      </c>
    </row>
    <row r="33" spans="2:8">
      <c r="B33" s="7">
        <v>19</v>
      </c>
      <c r="C33" s="70"/>
      <c r="D33" s="77" t="s">
        <v>124</v>
      </c>
      <c r="E33" s="54" t="s">
        <v>126</v>
      </c>
      <c r="F33" s="15">
        <f>COUNTIF(レビュー実施記録!C$43:C$134,レビューデータサマリ!D33)</f>
        <v>0</v>
      </c>
      <c r="G33" s="65" t="s">
        <v>33</v>
      </c>
      <c r="H33" s="65"/>
    </row>
    <row r="34" spans="2:8">
      <c r="B34" s="7">
        <v>20</v>
      </c>
      <c r="C34" s="52"/>
      <c r="D34" s="77" t="s">
        <v>95</v>
      </c>
      <c r="E34" s="54" t="s">
        <v>95</v>
      </c>
      <c r="F34" s="15">
        <f>COUNTIF(レビュー実施記録!C$43:C$134,レビューデータサマリ!D34)</f>
        <v>0</v>
      </c>
      <c r="G34" s="65" t="s">
        <v>33</v>
      </c>
      <c r="H34" s="65"/>
    </row>
    <row r="35" spans="2:8">
      <c r="B35" s="7">
        <v>21</v>
      </c>
      <c r="C35" s="52"/>
      <c r="D35" s="77" t="s">
        <v>96</v>
      </c>
      <c r="E35" s="54" t="s">
        <v>96</v>
      </c>
      <c r="F35" s="15">
        <f>COUNTIF(レビュー実施記録!C$43:C$134,レビューデータサマリ!D35)</f>
        <v>0</v>
      </c>
      <c r="G35" s="65" t="s">
        <v>33</v>
      </c>
      <c r="H35" s="65"/>
    </row>
    <row r="36" spans="2:8">
      <c r="B36" s="7">
        <v>22</v>
      </c>
      <c r="C36" s="52"/>
      <c r="D36" s="77" t="s">
        <v>94</v>
      </c>
      <c r="E36" s="54" t="s">
        <v>94</v>
      </c>
      <c r="F36" s="15">
        <f>COUNTIF(レビュー実施記録!C$43:C$134,レビューデータサマリ!D36)</f>
        <v>9</v>
      </c>
      <c r="G36" s="65" t="s">
        <v>33</v>
      </c>
      <c r="H36" s="65"/>
    </row>
    <row r="37" spans="2:8">
      <c r="B37" s="7">
        <v>23</v>
      </c>
      <c r="C37" s="52"/>
      <c r="D37" s="77" t="s">
        <v>97</v>
      </c>
      <c r="E37" s="54" t="s">
        <v>97</v>
      </c>
      <c r="F37" s="15">
        <f>COUNTIF(レビュー実施記録!C$43:C$134,レビューデータサマリ!D37)</f>
        <v>11</v>
      </c>
      <c r="G37" s="65" t="s">
        <v>33</v>
      </c>
      <c r="H37" s="65"/>
    </row>
    <row r="38" spans="2:8">
      <c r="B38" s="7">
        <v>24</v>
      </c>
      <c r="C38" s="52"/>
      <c r="D38" s="77" t="s">
        <v>98</v>
      </c>
      <c r="E38" s="54" t="s">
        <v>98</v>
      </c>
      <c r="F38" s="15">
        <f>COUNTIF(レビュー実施記録!C$43:C$134,レビューデータサマリ!D38)</f>
        <v>15</v>
      </c>
      <c r="G38" s="65" t="s">
        <v>33</v>
      </c>
      <c r="H38" s="65"/>
    </row>
    <row r="39" spans="2:8">
      <c r="B39" s="7">
        <v>25</v>
      </c>
      <c r="C39" s="52"/>
      <c r="D39" s="78" t="s">
        <v>99</v>
      </c>
      <c r="E39" s="54" t="s">
        <v>99</v>
      </c>
      <c r="F39" s="15">
        <f>COUNTIF(レビュー実施記録!C$43:C$134,レビューデータサマリ!D39)</f>
        <v>0</v>
      </c>
      <c r="G39" s="65" t="s">
        <v>33</v>
      </c>
      <c r="H39" s="65"/>
    </row>
    <row r="40" spans="2:8">
      <c r="B40" s="7">
        <v>26</v>
      </c>
      <c r="C40" s="52"/>
      <c r="D40" s="53" t="s">
        <v>100</v>
      </c>
      <c r="E40" s="54"/>
      <c r="F40" s="15">
        <f>COUNTIF(レビュー実施記録!C$43:C$134,レビューデータサマリ!D40)</f>
        <v>7</v>
      </c>
      <c r="G40" s="65" t="s">
        <v>33</v>
      </c>
      <c r="H40" s="65"/>
    </row>
    <row r="41" spans="2:8">
      <c r="B41" s="7">
        <v>27</v>
      </c>
      <c r="C41" s="52"/>
      <c r="D41" s="76" t="s">
        <v>101</v>
      </c>
      <c r="E41" s="99"/>
      <c r="F41" s="102">
        <f>COUNTIF(レビュー実施記録!C$43:C$134,レビューデータサマリ!D41)</f>
        <v>20</v>
      </c>
      <c r="G41" s="68" t="s">
        <v>33</v>
      </c>
      <c r="H41" s="68"/>
    </row>
    <row r="42" spans="2:8">
      <c r="B42" s="7">
        <v>28</v>
      </c>
      <c r="C42" s="85" t="s">
        <v>51</v>
      </c>
      <c r="D42" s="86"/>
      <c r="E42" s="100"/>
      <c r="F42" s="103">
        <f>IF(ISERROR(F47/F43),0,F47/F43)</f>
        <v>0</v>
      </c>
      <c r="G42" s="104">
        <v>0</v>
      </c>
      <c r="H42" s="105" t="s">
        <v>123</v>
      </c>
    </row>
    <row r="43" spans="2:8">
      <c r="B43" s="7">
        <v>29</v>
      </c>
      <c r="C43" s="57"/>
      <c r="D43" s="58" t="s">
        <v>46</v>
      </c>
      <c r="E43" s="59"/>
      <c r="F43" s="15">
        <f>レビュー実施記録!N10</f>
        <v>76</v>
      </c>
      <c r="G43" s="65" t="s">
        <v>33</v>
      </c>
      <c r="H43" s="65"/>
    </row>
    <row r="44" spans="2:8">
      <c r="B44" s="7">
        <v>30</v>
      </c>
      <c r="C44" s="57"/>
      <c r="D44" s="60"/>
      <c r="E44" s="61" t="s">
        <v>114</v>
      </c>
      <c r="F44" s="15">
        <f>レビュー実施記録!N11</f>
        <v>0</v>
      </c>
      <c r="G44" s="65" t="s">
        <v>33</v>
      </c>
      <c r="H44" s="65"/>
    </row>
    <row r="45" spans="2:8">
      <c r="B45" s="7">
        <v>31</v>
      </c>
      <c r="C45" s="57"/>
      <c r="D45" s="60"/>
      <c r="E45" s="61" t="s">
        <v>136</v>
      </c>
      <c r="F45" s="15">
        <f>レビュー実施記録!N12</f>
        <v>0</v>
      </c>
      <c r="G45" s="65" t="s">
        <v>33</v>
      </c>
      <c r="H45" s="65"/>
    </row>
    <row r="46" spans="2:8">
      <c r="B46" s="7">
        <v>32</v>
      </c>
      <c r="C46" s="57"/>
      <c r="D46" s="60"/>
      <c r="E46" s="61" t="s">
        <v>115</v>
      </c>
      <c r="F46" s="15">
        <f>レビュー実施記録!N13</f>
        <v>76</v>
      </c>
      <c r="G46" s="65" t="s">
        <v>33</v>
      </c>
      <c r="H46" s="65"/>
    </row>
    <row r="47" spans="2:8">
      <c r="B47" s="7">
        <v>33</v>
      </c>
      <c r="C47" s="57"/>
      <c r="D47" s="58" t="s">
        <v>53</v>
      </c>
      <c r="E47" s="61"/>
      <c r="F47" s="15">
        <f>F43-F48</f>
        <v>0</v>
      </c>
      <c r="G47" s="65" t="s">
        <v>33</v>
      </c>
      <c r="H47" s="65"/>
    </row>
    <row r="48" spans="2:8">
      <c r="B48" s="7">
        <v>34</v>
      </c>
      <c r="C48" s="90"/>
      <c r="D48" s="101"/>
      <c r="E48" s="62" t="s">
        <v>116</v>
      </c>
      <c r="F48" s="19">
        <f>レビュー実施記録!N14</f>
        <v>76</v>
      </c>
      <c r="G48" s="66" t="s">
        <v>33</v>
      </c>
      <c r="H48" s="66"/>
    </row>
    <row r="49" spans="2:8">
      <c r="B49" s="7">
        <v>35</v>
      </c>
      <c r="C49" s="69" t="str">
        <f>使用方法!N46</f>
        <v>指摘分類</v>
      </c>
      <c r="D49" s="106"/>
      <c r="E49" s="53" t="str">
        <f>IF(使用方法!N48="","-",使用方法!N48)</f>
        <v>不備</v>
      </c>
      <c r="F49" s="15">
        <f>COUNTIF(レビュー実施記録!B$43:B$134,レビューデータサマリ!E49)</f>
        <v>14</v>
      </c>
      <c r="G49" s="64" t="s">
        <v>33</v>
      </c>
      <c r="H49" s="64"/>
    </row>
    <row r="50" spans="2:8">
      <c r="B50" s="7">
        <v>36</v>
      </c>
      <c r="C50" s="52"/>
      <c r="D50" s="107"/>
      <c r="E50" s="53" t="str">
        <f>IF(使用方法!N49="","-",使用方法!N49)</f>
        <v>改善</v>
      </c>
      <c r="F50" s="15">
        <f>COUNTIF(レビュー実施記録!B$43:B$134,レビューデータサマリ!E50)</f>
        <v>46</v>
      </c>
      <c r="G50" s="65" t="s">
        <v>33</v>
      </c>
      <c r="H50" s="65"/>
    </row>
    <row r="51" spans="2:8">
      <c r="B51" s="7">
        <v>37</v>
      </c>
      <c r="C51" s="52"/>
      <c r="D51" s="107"/>
      <c r="E51" s="53" t="str">
        <f>IF(使用方法!N50="","-",使用方法!N50)</f>
        <v>質問・確認</v>
      </c>
      <c r="F51" s="15">
        <f>COUNTIF(レビュー実施記録!B$43:B$134,レビューデータサマリ!E51)</f>
        <v>16</v>
      </c>
      <c r="G51" s="65" t="s">
        <v>33</v>
      </c>
      <c r="H51" s="65"/>
    </row>
    <row r="52" spans="2:8">
      <c r="B52" s="7">
        <v>38</v>
      </c>
      <c r="C52" s="52"/>
      <c r="D52" s="107"/>
      <c r="E52" s="53" t="str">
        <f>IF(使用方法!N51="","-",使用方法!N51)</f>
        <v>-</v>
      </c>
      <c r="F52" s="15">
        <f>COUNTIF(レビュー実施記録!B$43:B$134,レビューデータサマリ!E52)</f>
        <v>0</v>
      </c>
      <c r="G52" s="65" t="s">
        <v>33</v>
      </c>
      <c r="H52" s="65"/>
    </row>
    <row r="53" spans="2:8">
      <c r="B53" s="7">
        <v>39</v>
      </c>
      <c r="C53" s="55"/>
      <c r="D53" s="108"/>
      <c r="E53" s="56" t="str">
        <f>IF(使用方法!N52="","-",使用方法!N52)</f>
        <v>-</v>
      </c>
      <c r="F53" s="19">
        <f>COUNTIF(レビュー実施記録!B$43:B$134,レビューデータサマリ!E53)</f>
        <v>0</v>
      </c>
      <c r="G53" s="66" t="s">
        <v>33</v>
      </c>
      <c r="H53" s="66"/>
    </row>
    <row r="54" spans="2:8">
      <c r="C54" s="72"/>
      <c r="D54" s="72"/>
      <c r="E54" s="72"/>
      <c r="F54" s="73"/>
      <c r="G54" s="74"/>
      <c r="H54" s="72"/>
    </row>
    <row r="55" spans="2:8">
      <c r="F55" s="71"/>
      <c r="G55" s="75"/>
    </row>
    <row r="56" spans="2:8">
      <c r="F56" s="71"/>
      <c r="G56" s="75"/>
      <c r="H56" s="32"/>
    </row>
  </sheetData>
  <phoneticPr fontId="2"/>
  <pageMargins left="0.59055118110236227" right="0.39370078740157483" top="0.78740157480314965" bottom="0.59055118110236227" header="0.39370078740157483" footer="0.19685039370078741"/>
  <pageSetup paperSize="9" scale="72" orientation="portrait" verticalDpi="200" r:id="rId1"/>
  <headerFooter alignWithMargins="0">
    <oddFooter>&amp;L&amp;8&lt;&amp;F&gt;
&amp;10&amp;A&amp;C&amp;P / &amp;N&amp;R&amp;"HG創英角ｺﾞｼｯｸUB,ｳﾙﾄﾗﾎﾞｰﾙﾄﾞ"&amp;8三菱総研ＤＣＳ株式会社</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A0DABA1FBD78B46A65AC11BE46C52FA" ma:contentTypeVersion="6" ma:contentTypeDescription="新しいドキュメントを作成します。" ma:contentTypeScope="" ma:versionID="245ee99e8cd0f7f86d37fa5ebc9f0272">
  <xsd:schema xmlns:xsd="http://www.w3.org/2001/XMLSchema" xmlns:xs="http://www.w3.org/2001/XMLSchema" xmlns:p="http://schemas.microsoft.com/office/2006/metadata/properties" xmlns:ns2="83149fcb-e641-4dc8-96e6-0d24685a8336" xmlns:ns3="7c453198-5c16-407b-9337-47ca6c15cfa0" targetNamespace="http://schemas.microsoft.com/office/2006/metadata/properties" ma:root="true" ma:fieldsID="1d6c601e6e22606be1c5c23ebcc95522" ns2:_="" ns3:_="">
    <xsd:import namespace="83149fcb-e641-4dc8-96e6-0d24685a8336"/>
    <xsd:import namespace="7c453198-5c16-407b-9337-47ca6c15cf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149fcb-e641-4dc8-96e6-0d24685a8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453198-5c16-407b-9337-47ca6c15cfa0"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28A7A1-58E1-4AED-BE8F-5EBCEA67A360}">
  <ds:schemaRefs>
    <ds:schemaRef ds:uri="http://schemas.microsoft.com/sharepoint/v3/contenttype/forms"/>
  </ds:schemaRefs>
</ds:datastoreItem>
</file>

<file path=customXml/itemProps2.xml><?xml version="1.0" encoding="utf-8"?>
<ds:datastoreItem xmlns:ds="http://schemas.openxmlformats.org/officeDocument/2006/customXml" ds:itemID="{C5A3F6CD-C757-420D-9F2F-2FE74543DE3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39B22FE-8167-4100-AA27-0750EE5162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149fcb-e641-4dc8-96e6-0d24685a8336"/>
    <ds:schemaRef ds:uri="7c453198-5c16-407b-9337-47ca6c15cf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11</vt:i4>
      </vt:variant>
    </vt:vector>
  </HeadingPairs>
  <TitlesOfParts>
    <vt:vector size="15" baseType="lpstr">
      <vt:lpstr>使用方法</vt:lpstr>
      <vt:lpstr>レビュー実施記録</vt:lpstr>
      <vt:lpstr>レビュー観点</vt:lpstr>
      <vt:lpstr>レビューデータサマリ</vt:lpstr>
      <vt:lpstr>レビューデータサマリ!Print_Area</vt:lpstr>
      <vt:lpstr>レビュー観点!Print_Area</vt:lpstr>
      <vt:lpstr>レビュー実施記録!Print_Area</vt:lpstr>
      <vt:lpstr>使用方法!Print_Area</vt:lpstr>
      <vt:lpstr>レビュー実施記録!Print_Titles</vt:lpstr>
      <vt:lpstr>使用方法!Print_Titles</vt:lpstr>
      <vt:lpstr>ReviewData</vt:lpstr>
      <vt:lpstr>原因区分</vt:lpstr>
      <vt:lpstr>実施フェーズ</vt:lpstr>
      <vt:lpstr>分類</vt:lpstr>
      <vt:lpstr>役割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レビュー実施記録</dc:title>
  <dc:subject>標準ID：DM-010　Ver8.4</dc:subject>
  <dc:creator/>
  <cp:lastModifiedBy>下田　孝弘（DCS　情報システム部）</cp:lastModifiedBy>
  <cp:lastPrinted>2022-05-24T02:40:10Z</cp:lastPrinted>
  <dcterms:created xsi:type="dcterms:W3CDTF">2008-05-15T00:21:29Z</dcterms:created>
  <dcterms:modified xsi:type="dcterms:W3CDTF">2026-10-08T03:34:04Z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0x0101001A0DABA1FBD78B46A65AC11BE46C52FA</vt:lpwstr>
  </property>
</Properties>
</file>